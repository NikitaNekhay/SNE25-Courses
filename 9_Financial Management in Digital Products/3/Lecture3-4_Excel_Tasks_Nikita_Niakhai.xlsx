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tart here" sheetId="1" state="visible" r:id="rId3"/>
    <sheet name="1 · UE Funnel" sheetId="2" state="visible" r:id="rId4"/>
    <sheet name="2 · Bottleneck" sheetId="3" state="visible" r:id="rId5"/>
    <sheet name="3 · RICE" sheetId="4" state="visible" r:id="rId6"/>
    <sheet name="4 · Feature RO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<sst xmlns="http://schemas.openxmlformats.org/spreadsheetml/2006/main" count="118" uniqueCount="109">
  <si>
    <t xml:space="preserve">Lectures 3–4  ·  In-class Excel Sprint</t>
  </si>
  <si>
    <t xml:space="preserve">Unit economics · Bottlenecks · Prioritization</t>
  </si>
  <si>
    <t xml:space="preserve">How this works</t>
  </si>
  <si>
    <t xml:space="preserve">•</t>
  </si>
  <si>
    <t xml:space="preserve">Time: 25 minutes, work individually.</t>
  </si>
  <si>
    <t xml:space="preserve">Four tasks — one per tab. Do them in order (tabs at the bottom).</t>
  </si>
  <si>
    <t xml:space="preserve">Type a FORMULA in every yellow cell (e.g. =B6*B7), not a number you worked out in your head.</t>
  </si>
  <si>
    <t xml:space="preserve">Grey cells hold the given data — do not change them.</t>
  </si>
  <si>
    <t xml:space="preserve">Write your one-line conclusion in each green answer box.</t>
  </si>
  <si>
    <t xml:space="preserve">When done: File → Save As → Surname_Name.xlsx, then upload to Moodle.</t>
  </si>
  <si>
    <t xml:space="preserve">The four tasks</t>
  </si>
  <si>
    <t xml:space="preserve">Tab</t>
  </si>
  <si>
    <t xml:space="preserve">Topic</t>
  </si>
  <si>
    <t xml:space="preserve">What you do</t>
  </si>
  <si>
    <t xml:space="preserve">≈ min</t>
  </si>
  <si>
    <t xml:space="preserve">1</t>
  </si>
  <si>
    <t xml:space="preserve">Unit-economics funnel</t>
  </si>
  <si>
    <t xml:space="preserve">Build a funnel, find CAC, LTV and contribution margin</t>
  </si>
  <si>
    <t xml:space="preserve">8</t>
  </si>
  <si>
    <t xml:space="preserve">2</t>
  </si>
  <si>
    <t xml:space="preserve">Find the bottleneck</t>
  </si>
  <si>
    <t xml:space="preserve">Compare a funnel to benchmark and locate the constraint</t>
  </si>
  <si>
    <t xml:space="preserve">7</t>
  </si>
  <si>
    <t xml:space="preserve">3</t>
  </si>
  <si>
    <t xml:space="preserve">RICE prioritization</t>
  </si>
  <si>
    <t xml:space="preserve">Score and rank a feature backlog</t>
  </si>
  <si>
    <t xml:space="preserve">5</t>
  </si>
  <si>
    <t xml:space="preserve">4</t>
  </si>
  <si>
    <t xml:space="preserve">Feature ROI</t>
  </si>
  <si>
    <t xml:space="preserve">Compute payback and choose what to fund</t>
  </si>
  <si>
    <t xml:space="preserve">Task 1  ·  Unit-economics funnel</t>
  </si>
  <si>
    <t xml:space="preserve">A paid channel for a B2C mobile app. Build the funnel, then judge the economics.</t>
  </si>
  <si>
    <t xml:space="preserve">Given</t>
  </si>
  <si>
    <t xml:space="preserve">Monthly traffic (visitors)</t>
  </si>
  <si>
    <t xml:space="preserve">CR1  visitor → registration</t>
  </si>
  <si>
    <t xml:space="preserve">CR2  registration → paying customer</t>
  </si>
  <si>
    <t xml:space="preserve">Average payment, AvP (₽)</t>
  </si>
  <si>
    <t xml:space="preserve">Payments per customer, APC</t>
  </si>
  <si>
    <t xml:space="preserve">COGS per payment (₽)</t>
  </si>
  <si>
    <t xml:space="preserve">Monthly marketing spend (₽)</t>
  </si>
  <si>
    <t xml:space="preserve">Compute  (type a formula in each yellow cell)</t>
  </si>
  <si>
    <t xml:space="preserve">Metric</t>
  </si>
  <si>
    <t xml:space="preserve">Your result</t>
  </si>
  <si>
    <t xml:space="preserve">Registrations</t>
  </si>
  <si>
    <t xml:space="preserve">Paying customers  (B)</t>
  </si>
  <si>
    <t xml:space="preserve">CAC  (₽ per customer)</t>
  </si>
  <si>
    <t xml:space="preserve">Gross margin per payment (₽)</t>
  </si>
  <si>
    <t xml:space="preserve">LTV  (₽ per customer)</t>
  </si>
  <si>
    <t xml:space="preserve">Contribution margin / customer (₽)</t>
  </si>
  <si>
    <t xml:space="preserve">Total monthly contribution margin (₽)</t>
  </si>
  <si>
    <t xml:space="preserve">LTV / CAC  (×)</t>
  </si>
  <si>
    <t xml:space="preserve">Your answer</t>
  </si>
  <si>
    <t xml:space="preserve">Is this unit economics healthy? Rule of thumb: LTV/CAC ≥ 3. Write one line.</t>
  </si>
  <si>
    <t xml:space="preserve">LTV/CAC is 2.93, just below the healthy 3.0 rule, so the unit is borderline and needs a small improvement.</t>
  </si>
  <si>
    <t xml:space="preserve">Task 2  ·  Find the bottleneck</t>
  </si>
  <si>
    <t xml:space="preserve">A candidate’s job-search funnel vs an experienced friend’s benchmark. Where is the constraint?</t>
  </si>
  <si>
    <t xml:space="preserve">Given — candidate funnel (this week)</t>
  </si>
  <si>
    <t xml:space="preserve">Stage</t>
  </si>
  <si>
    <t xml:space="preserve">Count</t>
  </si>
  <si>
    <t xml:space="preserve">Impressions</t>
  </si>
  <si>
    <t xml:space="preserve">Profile views</t>
  </si>
  <si>
    <t xml:space="preserve">Responses</t>
  </si>
  <si>
    <t xml:space="preserve">Invitations</t>
  </si>
  <si>
    <t xml:space="preserve">First interview</t>
  </si>
  <si>
    <t xml:space="preserve">Compute — conversion, gap, bottleneck  (yellow = your formula)</t>
  </si>
  <si>
    <t xml:space="preserve">Step</t>
  </si>
  <si>
    <t xml:space="preserve">Your CR</t>
  </si>
  <si>
    <t xml:space="preserve">Benchmark CR</t>
  </si>
  <si>
    <t xml:space="preserve">Gap (bench − you)</t>
  </si>
  <si>
    <t xml:space="preserve">Impressions → Views</t>
  </si>
  <si>
    <t xml:space="preserve">Views → Responses</t>
  </si>
  <si>
    <t xml:space="preserve">Responses → Invitations</t>
  </si>
  <si>
    <t xml:space="preserve">Invitations → Interview</t>
  </si>
  <si>
    <t xml:space="preserve">End-to-end conversion (you)</t>
  </si>
  <si>
    <t xml:space="preserve">Largest benchmark gap</t>
  </si>
  <si>
    <t xml:space="preserve">Which stage is the bottleneck, and what ONE action would you take? (Don’t fix a stage already above benchmark.)</t>
  </si>
  <si>
    <t xml:space="preserve">Responses to Invitations is the bottleneck, biggest gap below benchmark. Action, improve response quality and follow-up so more responses turn into invitations. Do not touch Views to Responses, it is already above benchmark.</t>
  </si>
  <si>
    <t xml:space="preserve">Task 3  ·  RICE prioritization</t>
  </si>
  <si>
    <t xml:space="preserve">Score the backlog with RICE = (Reach × Impact × Confidence) ÷ Effort, then rank.</t>
  </si>
  <si>
    <t xml:space="preserve">RICE = (Reach × Impact × Confidence) ÷ Effort      —  Confidence is a %, Effort is in person-weeks.</t>
  </si>
  <si>
    <t xml:space="preserve">Feature</t>
  </si>
  <si>
    <t xml:space="preserve">Reach (users/qtr)</t>
  </si>
  <si>
    <t xml:space="preserve">Impact (0.25–3)</t>
  </si>
  <si>
    <t xml:space="preserve">Confidence</t>
  </si>
  <si>
    <t xml:space="preserve">Effort (wks)</t>
  </si>
  <si>
    <t xml:space="preserve">RICE score</t>
  </si>
  <si>
    <t xml:space="preserve">Rank</t>
  </si>
  <si>
    <t xml:space="preserve">Onboarding redesign</t>
  </si>
  <si>
    <t xml:space="preserve">Referral program</t>
  </si>
  <si>
    <t xml:space="preserve">Dark mode</t>
  </si>
  <si>
    <t xml:space="preserve">Checkout speedup</t>
  </si>
  <si>
    <t xml:space="preserve">AI recommendations</t>
  </si>
  <si>
    <t xml:space="preserve">Which feature ships first? And: if AI recommendations’ effort drops 8 → 3, recompute — does the top pick change?</t>
  </si>
  <si>
    <t xml:space="preserve">Checkout speedup ships first, highest RICE. If AI recommendations effort drops 8 to 3, its score rises but Checkout speedup still ranks first.</t>
  </si>
  <si>
    <t xml:space="preserve">Task 4  ·  Feature ROI (payback)</t>
  </si>
  <si>
    <t xml:space="preserve">Each improvement adds profit per unit. Compute monthly uplift and payback, then choose.</t>
  </si>
  <si>
    <t xml:space="preserve">Monthly volume (units)</t>
  </si>
  <si>
    <t xml:space="preserve">Improvement</t>
  </si>
  <si>
    <t xml:space="preserve">Build cost (₽)</t>
  </si>
  <si>
    <t xml:space="preserve">Profit uplift / unit (₽)</t>
  </si>
  <si>
    <t xml:space="preserve">Monthly uplift (₽)</t>
  </si>
  <si>
    <t xml:space="preserve">Payback (months)</t>
  </si>
  <si>
    <t xml:space="preserve">Optimize traffic</t>
  </si>
  <si>
    <t xml:space="preserve">SMS deliverability</t>
  </si>
  <si>
    <t xml:space="preserve">Raise approval rate</t>
  </si>
  <si>
    <t xml:space="preserve">CRM re-engagement</t>
  </si>
  <si>
    <t xml:space="preserve">Monthly uplift = uplift per unit × volume.   Payback (months) = build cost ÷ monthly uplift.</t>
  </si>
  <si>
    <t xml:space="preserve">Which improvement do you fund first (fastest payback)? Which is worst? Would RICE necessarily agree? One line.</t>
  </si>
  <si>
    <t xml:space="preserve">Fund Raise approval rate first, payback under 1 month. Optimize traffic and CRM re-engagement are worst, both 18 months. RICE would not necessarily agree since RICE ignores build cost.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</si>
</sst>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%"/>
    <numFmt numFmtId="167" formatCode="0"/>
    <numFmt numFmtId="168" formatCode="0.0\×"/>
    <numFmt numFmtId="169" formatCode="0.0%"/>
    <numFmt numFmtId="170" formatCode="0.00%"/>
    <numFmt numFmtId="171" formatCode="0.0##"/>
    <numFmt numFmtId="172" formatCode="#,##0.00"/>
    <numFmt numFmtId="173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  <charset val="1"/>
    </font>
    <font>
      <sz val="10.5"/>
      <color rgb="FFFFFFFF"/>
      <name val="Arial"/>
      <family val="2"/>
      <charset val="1"/>
    </font>
    <font>
      <b val="true"/>
      <sz val="13"/>
      <color rgb="FF192E40"/>
      <name val="Arial"/>
      <family val="2"/>
      <charset val="1"/>
    </font>
    <font>
      <b val="true"/>
      <sz val="11"/>
      <color rgb="FFED561B"/>
      <name val="Arial"/>
      <family val="2"/>
      <charset val="1"/>
    </font>
    <font>
      <sz val="11"/>
      <color rgb="FF20303D"/>
      <name val="Arial"/>
      <family val="2"/>
      <charset val="1"/>
    </font>
    <font>
      <b val="true"/>
      <sz val="10.5"/>
      <color rgb="FFFFFFFF"/>
      <name val="Arial"/>
      <family val="2"/>
      <charset val="1"/>
    </font>
    <font>
      <b val="true"/>
      <sz val="11"/>
      <color rgb="FF192E40"/>
      <name val="Arial"/>
      <family val="2"/>
      <charset val="1"/>
    </font>
    <font>
      <sz val="10.5"/>
      <color rgb="FF20303D"/>
      <name val="Arial"/>
      <family val="2"/>
      <charset val="1"/>
    </font>
    <font>
      <b val="true"/>
      <sz val="12"/>
      <color rgb="FF192E40"/>
      <name val="Arial"/>
      <family val="2"/>
      <charset val="1"/>
    </font>
    <font>
      <b val="true"/>
      <sz val="11"/>
      <color rgb="FF0000CC"/>
      <name val="Arial"/>
      <family val="2"/>
      <charset val="1"/>
    </font>
    <font>
      <i val="true"/>
      <sz val="10"/>
      <color rgb="FF5A6B78"/>
      <name val="Arial"/>
      <family val="2"/>
      <charset val="1"/>
    </font>
    <font>
      <i val="true"/>
      <sz val="10.5"/>
      <color rgb="FF5A6B78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92E40"/>
        <bgColor rgb="FF20303D"/>
      </patternFill>
    </fill>
    <fill>
      <patternFill patternType="solid">
        <fgColor rgb="FFED561B"/>
        <bgColor rgb="FFFF8080"/>
      </patternFill>
    </fill>
    <fill>
      <patternFill patternType="solid">
        <fgColor rgb="FFF5F7F9"/>
        <bgColor rgb="FFFFFFFF"/>
      </patternFill>
    </fill>
    <fill>
      <patternFill patternType="solid">
        <fgColor rgb="FFFFFFFF"/>
        <bgColor rgb="FFF5F7F9"/>
      </patternFill>
    </fill>
    <fill>
      <patternFill patternType="solid">
        <fgColor rgb="FFFFF2CC"/>
        <bgColor rgb="FFF5F7F9"/>
      </patternFill>
    </fill>
    <fill>
      <patternFill patternType="solid">
        <fgColor rgb="FFE2EFDA"/>
        <bgColor rgb="FFD7DD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7DDE3"/>
      </left>
      <right style="thin">
        <color rgb="FFD7DDE3"/>
      </right>
      <top style="thin">
        <color rgb="FFD7DDE3"/>
      </top>
      <bottom style="thin">
        <color rgb="FFD7DDE3"/>
      </bottom>
      <diagonal/>
    </border>
    <border diagonalUp="false" diagonalDown="false">
      <left style="thin">
        <color rgb="FFD7DDE3"/>
      </left>
      <right/>
      <top style="thin">
        <color rgb="FFD7DDE3"/>
      </top>
      <bottom style="thin">
        <color rgb="FFD7DDE3"/>
      </bottom>
      <diagonal/>
    </border>
    <border diagonalUp="false" diagonalDown="false">
      <left style="thin">
        <color rgb="FFC9A227"/>
      </left>
      <right/>
      <top style="thin">
        <color rgb="FFC9A227"/>
      </top>
      <bottom style="thin">
        <color rgb="FFC9A227"/>
      </bottom>
      <diagonal/>
    </border>
    <border diagonalUp="false" diagonalDown="false"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7F9"/>
      <rgbColor rgb="FF660066"/>
      <rgbColor rgb="FFFF8080"/>
      <rgbColor rgb="FF0066CC"/>
      <rgbColor rgb="FFD7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ED561B"/>
      <rgbColor rgb="FF5A6B78"/>
      <rgbColor rgb="FF969696"/>
      <rgbColor rgb="FF192E40"/>
      <rgbColor rgb="FF339966"/>
      <rgbColor rgb="FF003300"/>
      <rgbColor rgb="FF333300"/>
      <rgbColor rgb="FF993300"/>
      <rgbColor rgb="FF993366"/>
      <rgbColor rgb="FF333399"/>
      <rgbColor rgb="FF2030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6"/>
    <col collapsed="false" customWidth="true" hidden="false" outlineLevel="0" max="7" min="3" style="1" width="15"/>
  </cols>
  <sheetData>
    <row r="1" customFormat="false" ht="25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2"/>
    </row>
    <row r="2" customFormat="false" ht="18" hidden="false" customHeight="true" outlineLevel="0" collapsed="false">
      <c r="A2" s="2"/>
      <c r="B2" s="4" t="s">
        <v>1</v>
      </c>
      <c r="C2" s="4"/>
      <c r="D2" s="4"/>
      <c r="E2" s="4"/>
      <c r="F2" s="4"/>
      <c r="G2" s="4"/>
      <c r="H2" s="2"/>
    </row>
    <row r="3" customFormat="false" ht="3.75" hidden="false" customHeight="true" outlineLevel="0" collapsed="false">
      <c r="B3" s="5"/>
      <c r="C3" s="5"/>
      <c r="D3" s="5"/>
      <c r="E3" s="5"/>
      <c r="F3" s="5"/>
      <c r="G3" s="5"/>
    </row>
    <row r="5" customFormat="false" ht="15.75" hidden="false" customHeight="true" outlineLevel="0" collapsed="false">
      <c r="B5" s="6" t="s">
        <v>2</v>
      </c>
    </row>
    <row r="6" customFormat="false" ht="15" hidden="false" customHeight="true" outlineLevel="0" collapsed="false">
      <c r="B6" s="7" t="s">
        <v>3</v>
      </c>
      <c r="C6" s="8" t="s">
        <v>4</v>
      </c>
      <c r="D6" s="8"/>
      <c r="E6" s="8"/>
      <c r="F6" s="8"/>
      <c r="G6" s="8"/>
    </row>
    <row r="7" customFormat="false" ht="15" hidden="false" customHeight="true" outlineLevel="0" collapsed="false">
      <c r="B7" s="7" t="s">
        <v>3</v>
      </c>
      <c r="C7" s="8" t="s">
        <v>5</v>
      </c>
      <c r="D7" s="8"/>
      <c r="E7" s="8"/>
      <c r="F7" s="8"/>
      <c r="G7" s="8"/>
    </row>
    <row r="8" customFormat="false" ht="26.25" hidden="false" customHeight="true" outlineLevel="0" collapsed="false">
      <c r="B8" s="7" t="s">
        <v>3</v>
      </c>
      <c r="C8" s="8" t="s">
        <v>6</v>
      </c>
      <c r="D8" s="8"/>
      <c r="E8" s="8"/>
      <c r="F8" s="8"/>
      <c r="G8" s="8"/>
    </row>
    <row r="9" customFormat="false" ht="15" hidden="false" customHeight="true" outlineLevel="0" collapsed="false">
      <c r="B9" s="7" t="s">
        <v>3</v>
      </c>
      <c r="C9" s="8" t="s">
        <v>7</v>
      </c>
      <c r="D9" s="8"/>
      <c r="E9" s="8"/>
      <c r="F9" s="8"/>
      <c r="G9" s="8"/>
    </row>
    <row r="10" customFormat="false" ht="15" hidden="false" customHeight="true" outlineLevel="0" collapsed="false">
      <c r="B10" s="7" t="s">
        <v>3</v>
      </c>
      <c r="C10" s="8" t="s">
        <v>8</v>
      </c>
      <c r="D10" s="8"/>
      <c r="E10" s="8"/>
      <c r="F10" s="8"/>
      <c r="G10" s="8"/>
    </row>
    <row r="11" customFormat="false" ht="15" hidden="false" customHeight="true" outlineLevel="0" collapsed="false">
      <c r="B11" s="7" t="s">
        <v>3</v>
      </c>
      <c r="C11" s="8" t="s">
        <v>9</v>
      </c>
      <c r="D11" s="8"/>
      <c r="E11" s="8"/>
      <c r="F11" s="8"/>
      <c r="G11" s="8"/>
    </row>
    <row r="13" customFormat="false" ht="15.75" hidden="false" customHeight="true" outlineLevel="0" collapsed="false">
      <c r="B13" s="6" t="s">
        <v>10</v>
      </c>
    </row>
    <row r="14" customFormat="false" ht="15" hidden="false" customHeight="true" outlineLevel="0" collapsed="false">
      <c r="B14" s="9" t="s">
        <v>11</v>
      </c>
      <c r="C14" s="10" t="s">
        <v>12</v>
      </c>
      <c r="D14" s="10"/>
      <c r="E14" s="10" t="s">
        <v>13</v>
      </c>
      <c r="F14" s="10"/>
      <c r="G14" s="9" t="s">
        <v>14</v>
      </c>
    </row>
    <row r="15" customFormat="false" ht="30" hidden="false" customHeight="true" outlineLevel="0" collapsed="false">
      <c r="B15" s="11" t="s">
        <v>15</v>
      </c>
      <c r="C15" s="12" t="s">
        <v>16</v>
      </c>
      <c r="D15" s="12"/>
      <c r="E15" s="13" t="s">
        <v>17</v>
      </c>
      <c r="F15" s="13"/>
      <c r="G15" s="14" t="s">
        <v>18</v>
      </c>
    </row>
    <row r="16" customFormat="false" ht="30" hidden="false" customHeight="true" outlineLevel="0" collapsed="false">
      <c r="B16" s="11" t="s">
        <v>19</v>
      </c>
      <c r="C16" s="12" t="s">
        <v>20</v>
      </c>
      <c r="D16" s="12"/>
      <c r="E16" s="13" t="s">
        <v>21</v>
      </c>
      <c r="F16" s="13"/>
      <c r="G16" s="14" t="s">
        <v>22</v>
      </c>
    </row>
    <row r="17" customFormat="false" ht="30" hidden="false" customHeight="true" outlineLevel="0" collapsed="false">
      <c r="B17" s="11" t="s">
        <v>23</v>
      </c>
      <c r="C17" s="12" t="s">
        <v>24</v>
      </c>
      <c r="D17" s="12"/>
      <c r="E17" s="13" t="s">
        <v>25</v>
      </c>
      <c r="F17" s="13"/>
      <c r="G17" s="14" t="s">
        <v>26</v>
      </c>
    </row>
    <row r="18" customFormat="false" ht="30" hidden="false" customHeight="true" outlineLevel="0" collapsed="false">
      <c r="B18" s="11" t="s">
        <v>27</v>
      </c>
      <c r="C18" s="12" t="s">
        <v>28</v>
      </c>
      <c r="D18" s="12"/>
      <c r="E18" s="13" t="s">
        <v>29</v>
      </c>
      <c r="F18" s="13"/>
      <c r="G18" s="14" t="s">
        <v>26</v>
      </c>
    </row>
  </sheetData>
  <mergeCells count="18">
    <mergeCell ref="B1:G1"/>
    <mergeCell ref="B2:G2"/>
    <mergeCell ref="C6:G6"/>
    <mergeCell ref="C7:G7"/>
    <mergeCell ref="C8:G8"/>
    <mergeCell ref="C9:G9"/>
    <mergeCell ref="C10:G10"/>
    <mergeCell ref="C11:G11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0"/>
    <col collapsed="false" customWidth="true" hidden="false" outlineLevel="0" max="5" min="3" style="1" width="9"/>
    <col collapsed="false" customWidth="true" hidden="false" outlineLevel="0" max="6" min="6" style="1" width="14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2"/>
      <c r="B1" s="3" t="s">
        <v>30</v>
      </c>
      <c r="C1" s="3"/>
      <c r="D1" s="3"/>
      <c r="E1" s="3"/>
      <c r="F1" s="3"/>
      <c r="G1" s="3"/>
      <c r="H1" s="2"/>
    </row>
    <row r="2" customFormat="false" ht="18" hidden="false" customHeight="true" outlineLevel="0" collapsed="false">
      <c r="A2" s="2"/>
      <c r="B2" s="4" t="s">
        <v>31</v>
      </c>
      <c r="C2" s="4"/>
      <c r="D2" s="4"/>
      <c r="E2" s="4"/>
      <c r="F2" s="4"/>
      <c r="G2" s="4"/>
      <c r="H2" s="2"/>
    </row>
    <row r="3" customFormat="false" ht="3.75" hidden="false" customHeight="true" outlineLevel="0" collapsed="false">
      <c r="B3" s="5"/>
      <c r="C3" s="5"/>
      <c r="D3" s="5"/>
      <c r="E3" s="5"/>
      <c r="F3" s="5"/>
      <c r="G3" s="5"/>
    </row>
    <row r="5" customFormat="false" ht="15" hidden="false" customHeight="true" outlineLevel="0" collapsed="false">
      <c r="B5" s="15" t="s">
        <v>32</v>
      </c>
    </row>
    <row r="6" customFormat="false" ht="15" hidden="false" customHeight="true" outlineLevel="0" collapsed="false">
      <c r="B6" s="16" t="s">
        <v>33</v>
      </c>
      <c r="C6" s="16"/>
      <c r="D6" s="16"/>
      <c r="E6" s="16"/>
      <c r="F6" s="17" t="n">
        <v>20000</v>
      </c>
    </row>
    <row r="7" customFormat="false" ht="15" hidden="false" customHeight="true" outlineLevel="0" collapsed="false">
      <c r="B7" s="16" t="s">
        <v>34</v>
      </c>
      <c r="C7" s="16"/>
      <c r="D7" s="16"/>
      <c r="E7" s="16"/>
      <c r="F7" s="18" t="n">
        <v>0.25</v>
      </c>
    </row>
    <row r="8" customFormat="false" ht="15" hidden="false" customHeight="true" outlineLevel="0" collapsed="false">
      <c r="B8" s="16" t="s">
        <v>35</v>
      </c>
      <c r="C8" s="16"/>
      <c r="D8" s="16"/>
      <c r="E8" s="16"/>
      <c r="F8" s="18" t="n">
        <v>0.08</v>
      </c>
    </row>
    <row r="9" customFormat="false" ht="15" hidden="false" customHeight="true" outlineLevel="0" collapsed="false">
      <c r="B9" s="16" t="s">
        <v>36</v>
      </c>
      <c r="C9" s="16"/>
      <c r="D9" s="16"/>
      <c r="E9" s="16"/>
      <c r="F9" s="17" t="n">
        <v>1500</v>
      </c>
    </row>
    <row r="10" customFormat="false" ht="15" hidden="false" customHeight="true" outlineLevel="0" collapsed="false">
      <c r="B10" s="16" t="s">
        <v>37</v>
      </c>
      <c r="C10" s="16"/>
      <c r="D10" s="16"/>
      <c r="E10" s="16"/>
      <c r="F10" s="19" t="n">
        <v>4</v>
      </c>
    </row>
    <row r="11" customFormat="false" ht="15" hidden="false" customHeight="true" outlineLevel="0" collapsed="false">
      <c r="B11" s="16" t="s">
        <v>38</v>
      </c>
      <c r="C11" s="16"/>
      <c r="D11" s="16"/>
      <c r="E11" s="16"/>
      <c r="F11" s="17" t="n">
        <v>400</v>
      </c>
    </row>
    <row r="12" customFormat="false" ht="15" hidden="false" customHeight="true" outlineLevel="0" collapsed="false">
      <c r="B12" s="16" t="s">
        <v>39</v>
      </c>
      <c r="C12" s="16"/>
      <c r="D12" s="16"/>
      <c r="E12" s="16"/>
      <c r="F12" s="17" t="n">
        <v>600000</v>
      </c>
    </row>
    <row r="14" customFormat="false" ht="15" hidden="false" customHeight="true" outlineLevel="0" collapsed="false">
      <c r="B14" s="15" t="s">
        <v>40</v>
      </c>
    </row>
    <row r="15" customFormat="false" ht="15" hidden="false" customHeight="true" outlineLevel="0" collapsed="false">
      <c r="B15" s="20" t="s">
        <v>41</v>
      </c>
      <c r="C15" s="20"/>
      <c r="D15" s="20"/>
      <c r="E15" s="20"/>
      <c r="F15" s="10" t="s">
        <v>42</v>
      </c>
      <c r="G15" s="21"/>
    </row>
    <row r="16" customFormat="false" ht="15" hidden="false" customHeight="true" outlineLevel="0" collapsed="false">
      <c r="B16" s="22" t="s">
        <v>43</v>
      </c>
      <c r="C16" s="22"/>
      <c r="D16" s="22"/>
      <c r="E16" s="22"/>
      <c r="F16" s="23" t="n">
        <f aca="false">F6*F7</f>
        <v>5000</v>
      </c>
      <c r="G16" s="24"/>
    </row>
    <row r="17" customFormat="false" ht="15" hidden="false" customHeight="true" outlineLevel="0" collapsed="false">
      <c r="B17" s="22" t="s">
        <v>44</v>
      </c>
      <c r="C17" s="22"/>
      <c r="D17" s="22"/>
      <c r="E17" s="22"/>
      <c r="F17" s="23" t="n">
        <f aca="false">F16*F8</f>
        <v>400</v>
      </c>
      <c r="G17" s="24"/>
    </row>
    <row r="18" customFormat="false" ht="15" hidden="false" customHeight="true" outlineLevel="0" collapsed="false">
      <c r="B18" s="22" t="s">
        <v>45</v>
      </c>
      <c r="C18" s="22"/>
      <c r="D18" s="22"/>
      <c r="E18" s="22"/>
      <c r="F18" s="23" t="n">
        <f aca="false">F12/F17</f>
        <v>1500</v>
      </c>
      <c r="G18" s="24"/>
    </row>
    <row r="19" customFormat="false" ht="15" hidden="false" customHeight="true" outlineLevel="0" collapsed="false">
      <c r="B19" s="22" t="s">
        <v>46</v>
      </c>
      <c r="C19" s="22"/>
      <c r="D19" s="22"/>
      <c r="E19" s="22"/>
      <c r="F19" s="23" t="n">
        <f aca="false">F9-F11</f>
        <v>1100</v>
      </c>
      <c r="G19" s="24"/>
    </row>
    <row r="20" customFormat="false" ht="15" hidden="false" customHeight="true" outlineLevel="0" collapsed="false">
      <c r="B20" s="22" t="s">
        <v>47</v>
      </c>
      <c r="C20" s="22"/>
      <c r="D20" s="22"/>
      <c r="E20" s="22"/>
      <c r="F20" s="23" t="n">
        <f aca="false">F19*F10</f>
        <v>4400</v>
      </c>
      <c r="G20" s="24"/>
    </row>
    <row r="21" customFormat="false" ht="15" hidden="false" customHeight="true" outlineLevel="0" collapsed="false">
      <c r="B21" s="22" t="s">
        <v>48</v>
      </c>
      <c r="C21" s="22"/>
      <c r="D21" s="22"/>
      <c r="E21" s="22"/>
      <c r="F21" s="23" t="n">
        <f aca="false">F20-F18</f>
        <v>2900</v>
      </c>
      <c r="G21" s="24"/>
    </row>
    <row r="22" customFormat="false" ht="15" hidden="false" customHeight="true" outlineLevel="0" collapsed="false">
      <c r="B22" s="22" t="s">
        <v>49</v>
      </c>
      <c r="C22" s="22"/>
      <c r="D22" s="22"/>
      <c r="E22" s="22"/>
      <c r="F22" s="23" t="n">
        <f aca="false">F21*F17</f>
        <v>1160000</v>
      </c>
      <c r="G22" s="24"/>
    </row>
    <row r="23" customFormat="false" ht="15" hidden="false" customHeight="true" outlineLevel="0" collapsed="false">
      <c r="B23" s="22" t="s">
        <v>50</v>
      </c>
      <c r="C23" s="22"/>
      <c r="D23" s="22"/>
      <c r="E23" s="22"/>
      <c r="F23" s="25" t="n">
        <f aca="false">F20/F18</f>
        <v>2.93333333333333</v>
      </c>
      <c r="G23" s="24"/>
    </row>
    <row r="25" customFormat="false" ht="15" hidden="false" customHeight="true" outlineLevel="0" collapsed="false">
      <c r="B25" s="15" t="s">
        <v>51</v>
      </c>
    </row>
    <row r="26" customFormat="false" ht="15" hidden="false" customHeight="true" outlineLevel="0" collapsed="false">
      <c r="B26" s="26" t="s">
        <v>52</v>
      </c>
      <c r="C26" s="26"/>
      <c r="D26" s="26"/>
      <c r="E26" s="26"/>
      <c r="F26" s="26"/>
      <c r="G26" s="26"/>
    </row>
    <row r="27" customFormat="false" ht="24" hidden="false" customHeight="true" outlineLevel="0" collapsed="false">
      <c r="B27" s="27" t="s">
        <v>53</v>
      </c>
      <c r="C27" s="27"/>
      <c r="D27" s="27"/>
      <c r="E27" s="27"/>
      <c r="F27" s="27"/>
      <c r="G27" s="27"/>
    </row>
    <row r="28" customFormat="false" ht="24" hidden="false" customHeight="true" outlineLevel="0" collapsed="false">
      <c r="B28" s="27"/>
      <c r="C28" s="27"/>
      <c r="D28" s="27"/>
      <c r="E28" s="27"/>
      <c r="F28" s="27"/>
      <c r="G28" s="27"/>
    </row>
  </sheetData>
  <mergeCells count="20">
    <mergeCell ref="B1:G1"/>
    <mergeCell ref="B2:G2"/>
    <mergeCell ref="B6:E6"/>
    <mergeCell ref="B7:E7"/>
    <mergeCell ref="B8:E8"/>
    <mergeCell ref="B9:E9"/>
    <mergeCell ref="B10:E10"/>
    <mergeCell ref="B11:E11"/>
    <mergeCell ref="B12:E12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6:G26"/>
    <mergeCell ref="B27:G28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0"/>
    <col collapsed="false" customWidth="true" hidden="false" outlineLevel="0" max="7" min="3" style="1" width="15"/>
  </cols>
  <sheetData>
    <row r="1" customFormat="false" ht="25.5" hidden="false" customHeight="true" outlineLevel="0" collapsed="false">
      <c r="A1" s="2"/>
      <c r="B1" s="3" t="s">
        <v>54</v>
      </c>
      <c r="C1" s="3"/>
      <c r="D1" s="3"/>
      <c r="E1" s="3"/>
      <c r="F1" s="3"/>
      <c r="G1" s="3"/>
      <c r="H1" s="2"/>
    </row>
    <row r="2" customFormat="false" ht="18" hidden="false" customHeight="true" outlineLevel="0" collapsed="false">
      <c r="A2" s="2"/>
      <c r="B2" s="4" t="s">
        <v>55</v>
      </c>
      <c r="C2" s="4"/>
      <c r="D2" s="4"/>
      <c r="E2" s="4"/>
      <c r="F2" s="4"/>
      <c r="G2" s="4"/>
      <c r="H2" s="2"/>
    </row>
    <row r="3" customFormat="false" ht="3.75" hidden="false" customHeight="true" outlineLevel="0" collapsed="false">
      <c r="B3" s="5"/>
      <c r="C3" s="5"/>
      <c r="D3" s="5"/>
      <c r="E3" s="5"/>
      <c r="F3" s="5"/>
      <c r="G3" s="5"/>
    </row>
    <row r="5" customFormat="false" ht="15" hidden="false" customHeight="true" outlineLevel="0" collapsed="false">
      <c r="B5" s="15" t="s">
        <v>56</v>
      </c>
    </row>
    <row r="6" customFormat="false" ht="15" hidden="false" customHeight="true" outlineLevel="0" collapsed="false">
      <c r="B6" s="20" t="s">
        <v>57</v>
      </c>
      <c r="C6" s="9" t="s">
        <v>58</v>
      </c>
    </row>
    <row r="7" customFormat="false" ht="15" hidden="false" customHeight="true" outlineLevel="0" collapsed="false">
      <c r="B7" s="16" t="s">
        <v>59</v>
      </c>
      <c r="C7" s="17" t="n">
        <v>102</v>
      </c>
    </row>
    <row r="8" customFormat="false" ht="15" hidden="false" customHeight="true" outlineLevel="0" collapsed="false">
      <c r="B8" s="16" t="s">
        <v>60</v>
      </c>
      <c r="C8" s="17" t="n">
        <v>24</v>
      </c>
    </row>
    <row r="9" customFormat="false" ht="15" hidden="false" customHeight="true" outlineLevel="0" collapsed="false">
      <c r="B9" s="16" t="s">
        <v>61</v>
      </c>
      <c r="C9" s="17" t="n">
        <v>4</v>
      </c>
    </row>
    <row r="10" customFormat="false" ht="15" hidden="false" customHeight="true" outlineLevel="0" collapsed="false">
      <c r="B10" s="16" t="s">
        <v>62</v>
      </c>
      <c r="C10" s="17" t="n">
        <v>1</v>
      </c>
    </row>
    <row r="11" customFormat="false" ht="15" hidden="false" customHeight="true" outlineLevel="0" collapsed="false">
      <c r="B11" s="16" t="s">
        <v>63</v>
      </c>
      <c r="C11" s="17" t="n">
        <v>1</v>
      </c>
    </row>
    <row r="13" customFormat="false" ht="15" hidden="false" customHeight="true" outlineLevel="0" collapsed="false">
      <c r="B13" s="15" t="s">
        <v>64</v>
      </c>
    </row>
    <row r="14" customFormat="false" ht="24.75" hidden="false" customHeight="true" outlineLevel="0" collapsed="false">
      <c r="B14" s="20" t="s">
        <v>65</v>
      </c>
      <c r="C14" s="9" t="s">
        <v>66</v>
      </c>
      <c r="D14" s="9" t="s">
        <v>67</v>
      </c>
      <c r="E14" s="9" t="s">
        <v>68</v>
      </c>
    </row>
    <row r="15" customFormat="false" ht="15" hidden="false" customHeight="true" outlineLevel="0" collapsed="false">
      <c r="B15" s="22" t="s">
        <v>69</v>
      </c>
      <c r="C15" s="28" t="n">
        <f aca="false">C8/C7</f>
        <v>0.235294117647059</v>
      </c>
      <c r="D15" s="29" t="n">
        <v>0.3</v>
      </c>
      <c r="E15" s="28" t="n">
        <f aca="false">D15-C15</f>
        <v>0.0647058823529412</v>
      </c>
    </row>
    <row r="16" customFormat="false" ht="15" hidden="false" customHeight="true" outlineLevel="0" collapsed="false">
      <c r="B16" s="22" t="s">
        <v>70</v>
      </c>
      <c r="C16" s="28" t="n">
        <f aca="false">C9/C8</f>
        <v>0.166666666666667</v>
      </c>
      <c r="D16" s="29" t="n">
        <v>0.12</v>
      </c>
      <c r="E16" s="28" t="n">
        <f aca="false">D16-C16</f>
        <v>-0.0466666666666667</v>
      </c>
    </row>
    <row r="17" customFormat="false" ht="15" hidden="false" customHeight="true" outlineLevel="0" collapsed="false">
      <c r="B17" s="22" t="s">
        <v>71</v>
      </c>
      <c r="C17" s="28" t="n">
        <f aca="false">C10/C9</f>
        <v>0.25</v>
      </c>
      <c r="D17" s="29" t="n">
        <v>0.38</v>
      </c>
      <c r="E17" s="28" t="n">
        <f aca="false">D17-C17</f>
        <v>0.13</v>
      </c>
    </row>
    <row r="18" customFormat="false" ht="15" hidden="false" customHeight="true" outlineLevel="0" collapsed="false">
      <c r="B18" s="22" t="s">
        <v>72</v>
      </c>
      <c r="C18" s="28" t="n">
        <f aca="false">C11/C10</f>
        <v>1</v>
      </c>
      <c r="D18" s="29" t="n">
        <v>1</v>
      </c>
      <c r="E18" s="28" t="n">
        <f aca="false">D18-C18</f>
        <v>0</v>
      </c>
    </row>
    <row r="20" customFormat="false" ht="23.25" hidden="false" customHeight="true" outlineLevel="0" collapsed="false">
      <c r="B20" s="22" t="s">
        <v>73</v>
      </c>
      <c r="C20" s="22"/>
      <c r="D20" s="22"/>
      <c r="E20" s="30" t="n">
        <f aca="false">C11/C7</f>
        <v>0.00980392156862745</v>
      </c>
      <c r="G20" s="24"/>
    </row>
    <row r="21" customFormat="false" ht="15" hidden="false" customHeight="true" outlineLevel="0" collapsed="false">
      <c r="B21" s="22" t="s">
        <v>74</v>
      </c>
      <c r="C21" s="22"/>
      <c r="D21" s="22"/>
      <c r="E21" s="28" t="n">
        <f aca="false">MAX(E15:E18)</f>
        <v>0.13</v>
      </c>
      <c r="G21" s="31"/>
    </row>
    <row r="23" customFormat="false" ht="15" hidden="false" customHeight="true" outlineLevel="0" collapsed="false">
      <c r="B23" s="15" t="s">
        <v>51</v>
      </c>
    </row>
    <row r="24" customFormat="false" ht="15" hidden="false" customHeight="true" outlineLevel="0" collapsed="false">
      <c r="B24" s="26" t="s">
        <v>75</v>
      </c>
      <c r="C24" s="26"/>
      <c r="D24" s="26"/>
      <c r="E24" s="26"/>
      <c r="F24" s="26"/>
      <c r="G24" s="26"/>
    </row>
    <row r="25" customFormat="false" ht="24" hidden="false" customHeight="true" outlineLevel="0" collapsed="false">
      <c r="B25" s="27" t="s">
        <v>76</v>
      </c>
      <c r="C25" s="27"/>
      <c r="D25" s="27"/>
      <c r="E25" s="27"/>
      <c r="F25" s="27"/>
      <c r="G25" s="27"/>
    </row>
    <row r="26" customFormat="false" ht="24" hidden="false" customHeight="true" outlineLevel="0" collapsed="false">
      <c r="B26" s="27"/>
      <c r="C26" s="27"/>
      <c r="D26" s="27"/>
      <c r="E26" s="27"/>
      <c r="F26" s="27"/>
      <c r="G26" s="27"/>
    </row>
  </sheetData>
  <mergeCells count="6">
    <mergeCell ref="B1:G1"/>
    <mergeCell ref="B2:G2"/>
    <mergeCell ref="B20:D20"/>
    <mergeCell ref="B21:D21"/>
    <mergeCell ref="B24:G24"/>
    <mergeCell ref="B25:G26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7" min="6" style="1" width="15"/>
    <col collapsed="false" customWidth="true" hidden="false" outlineLevel="0" max="8" min="8" style="1" width="8"/>
  </cols>
  <sheetData>
    <row r="1" customFormat="false" ht="25.5" hidden="false" customHeight="true" outlineLevel="0" collapsed="false">
      <c r="A1" s="2"/>
      <c r="B1" s="3" t="s">
        <v>77</v>
      </c>
      <c r="C1" s="3"/>
      <c r="D1" s="3"/>
      <c r="E1" s="3"/>
      <c r="F1" s="3"/>
      <c r="G1" s="3"/>
      <c r="H1" s="2"/>
    </row>
    <row r="2" customFormat="false" ht="18" hidden="false" customHeight="true" outlineLevel="0" collapsed="false">
      <c r="A2" s="2"/>
      <c r="B2" s="4" t="s">
        <v>78</v>
      </c>
      <c r="C2" s="4"/>
      <c r="D2" s="4"/>
      <c r="E2" s="4"/>
      <c r="F2" s="4"/>
      <c r="G2" s="4"/>
      <c r="H2" s="2"/>
    </row>
    <row r="3" customFormat="false" ht="3.75" hidden="false" customHeight="true" outlineLevel="0" collapsed="false">
      <c r="B3" s="5"/>
      <c r="C3" s="5"/>
      <c r="D3" s="5"/>
      <c r="E3" s="5"/>
      <c r="F3" s="5"/>
      <c r="G3" s="5"/>
    </row>
    <row r="5" customFormat="false" ht="48.75" hidden="false" customHeight="true" outlineLevel="0" collapsed="false">
      <c r="B5" s="32" t="s">
        <v>79</v>
      </c>
    </row>
    <row r="7" customFormat="false" ht="23.25" hidden="false" customHeight="true" outlineLevel="0" collapsed="false">
      <c r="B7" s="33" t="s">
        <v>80</v>
      </c>
      <c r="C7" s="34" t="s">
        <v>81</v>
      </c>
      <c r="D7" s="34" t="s">
        <v>82</v>
      </c>
      <c r="E7" s="34" t="s">
        <v>83</v>
      </c>
      <c r="F7" s="34" t="s">
        <v>84</v>
      </c>
      <c r="G7" s="34" t="s">
        <v>85</v>
      </c>
      <c r="H7" s="34" t="s">
        <v>86</v>
      </c>
    </row>
    <row r="8" customFormat="false" ht="15" hidden="false" customHeight="true" outlineLevel="0" collapsed="false">
      <c r="B8" s="22" t="s">
        <v>87</v>
      </c>
      <c r="C8" s="35" t="n">
        <v>8000</v>
      </c>
      <c r="D8" s="36" t="n">
        <v>2</v>
      </c>
      <c r="E8" s="37" t="n">
        <v>0.8</v>
      </c>
      <c r="F8" s="38" t="n">
        <v>4</v>
      </c>
      <c r="G8" s="39" t="n">
        <f aca="false">C8*D8*E8/F8</f>
        <v>3200</v>
      </c>
      <c r="H8" s="40" t="n">
        <f aca="false">RANK(G8,$G$8:$G$12)</f>
        <v>2</v>
      </c>
    </row>
    <row r="9" customFormat="false" ht="15" hidden="false" customHeight="true" outlineLevel="0" collapsed="false">
      <c r="B9" s="22" t="s">
        <v>88</v>
      </c>
      <c r="C9" s="35" t="n">
        <v>5000</v>
      </c>
      <c r="D9" s="36" t="n">
        <v>3</v>
      </c>
      <c r="E9" s="37" t="n">
        <v>0.5</v>
      </c>
      <c r="F9" s="38" t="n">
        <v>6</v>
      </c>
      <c r="G9" s="39" t="n">
        <f aca="false">C9*D9*E9/F9</f>
        <v>1250</v>
      </c>
      <c r="H9" s="40" t="n">
        <f aca="false">RANK(G9,$G$8:$G$12)</f>
        <v>4</v>
      </c>
    </row>
    <row r="10" customFormat="false" ht="15" hidden="false" customHeight="true" outlineLevel="0" collapsed="false">
      <c r="B10" s="22" t="s">
        <v>89</v>
      </c>
      <c r="C10" s="35" t="n">
        <v>12000</v>
      </c>
      <c r="D10" s="36" t="n">
        <v>0.5</v>
      </c>
      <c r="E10" s="37" t="n">
        <v>1</v>
      </c>
      <c r="F10" s="38" t="n">
        <v>2</v>
      </c>
      <c r="G10" s="39" t="n">
        <f aca="false">C10*D10*E10/F10</f>
        <v>3000</v>
      </c>
      <c r="H10" s="40" t="n">
        <f aca="false">RANK(G10,$G$8:$G$12)</f>
        <v>3</v>
      </c>
    </row>
    <row r="11" customFormat="false" ht="15" hidden="false" customHeight="true" outlineLevel="0" collapsed="false">
      <c r="B11" s="22" t="s">
        <v>90</v>
      </c>
      <c r="C11" s="35" t="n">
        <v>9000</v>
      </c>
      <c r="D11" s="36" t="n">
        <v>2</v>
      </c>
      <c r="E11" s="37" t="n">
        <v>0.9</v>
      </c>
      <c r="F11" s="38" t="n">
        <v>3</v>
      </c>
      <c r="G11" s="39" t="n">
        <f aca="false">C11*D11*E11/F11</f>
        <v>5400</v>
      </c>
      <c r="H11" s="40" t="n">
        <f aca="false">RANK(G11,$G$8:$G$12)</f>
        <v>1</v>
      </c>
    </row>
    <row r="12" customFormat="false" ht="15" hidden="false" customHeight="true" outlineLevel="0" collapsed="false">
      <c r="B12" s="22" t="s">
        <v>91</v>
      </c>
      <c r="C12" s="35" t="n">
        <v>4000</v>
      </c>
      <c r="D12" s="36" t="n">
        <v>3</v>
      </c>
      <c r="E12" s="37" t="n">
        <v>0.4</v>
      </c>
      <c r="F12" s="38" t="n">
        <v>8</v>
      </c>
      <c r="G12" s="39" t="n">
        <f aca="false">C12*D12*E12/F12</f>
        <v>600</v>
      </c>
      <c r="H12" s="40" t="n">
        <f aca="false">RANK(G12,$G$8:$G$12)</f>
        <v>5</v>
      </c>
    </row>
    <row r="14" customFormat="false" ht="15" hidden="false" customHeight="true" outlineLevel="0" collapsed="false">
      <c r="B14" s="15" t="s">
        <v>51</v>
      </c>
    </row>
    <row r="15" customFormat="false" ht="15" hidden="false" customHeight="true" outlineLevel="0" collapsed="false">
      <c r="B15" s="26" t="s">
        <v>92</v>
      </c>
      <c r="C15" s="26"/>
      <c r="D15" s="26"/>
      <c r="E15" s="26"/>
      <c r="F15" s="26"/>
      <c r="G15" s="26"/>
      <c r="H15" s="26"/>
    </row>
    <row r="16" customFormat="false" ht="24" hidden="false" customHeight="true" outlineLevel="0" collapsed="false">
      <c r="B16" s="27" t="s">
        <v>93</v>
      </c>
      <c r="C16" s="27"/>
      <c r="D16" s="27"/>
      <c r="E16" s="27"/>
      <c r="F16" s="27"/>
      <c r="G16" s="27"/>
      <c r="H16" s="27"/>
    </row>
    <row r="17" customFormat="false" ht="24" hidden="false" customHeight="true" outlineLevel="0" collapsed="false">
      <c r="B17" s="27"/>
      <c r="C17" s="27"/>
      <c r="D17" s="27"/>
      <c r="E17" s="27"/>
      <c r="F17" s="27"/>
      <c r="G17" s="27"/>
      <c r="H17" s="27"/>
    </row>
  </sheetData>
  <mergeCells count="4">
    <mergeCell ref="B1:G1"/>
    <mergeCell ref="B2:G2"/>
    <mergeCell ref="B15:H15"/>
    <mergeCell ref="B16:H17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6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6" min="5" style="1" width="16"/>
    <col collapsed="false" customWidth="true" hidden="false" outlineLevel="0" max="7" min="7" style="1" width="6"/>
  </cols>
  <sheetData>
    <row r="1" customFormat="false" ht="25.5" hidden="false" customHeight="true" outlineLevel="0" collapsed="false">
      <c r="A1" s="2"/>
      <c r="B1" s="3" t="s">
        <v>94</v>
      </c>
      <c r="C1" s="3"/>
      <c r="D1" s="3"/>
      <c r="E1" s="3"/>
      <c r="F1" s="3"/>
      <c r="G1" s="3"/>
      <c r="H1" s="2"/>
    </row>
    <row r="2" customFormat="false" ht="18" hidden="false" customHeight="true" outlineLevel="0" collapsed="false">
      <c r="A2" s="2"/>
      <c r="B2" s="4" t="s">
        <v>95</v>
      </c>
      <c r="C2" s="4"/>
      <c r="D2" s="4"/>
      <c r="E2" s="4"/>
      <c r="F2" s="4"/>
      <c r="G2" s="4"/>
      <c r="H2" s="2"/>
    </row>
    <row r="3" customFormat="false" ht="3.75" hidden="false" customHeight="true" outlineLevel="0" collapsed="false">
      <c r="B3" s="5"/>
      <c r="C3" s="5"/>
      <c r="D3" s="5"/>
      <c r="E3" s="5"/>
      <c r="F3" s="5"/>
      <c r="G3" s="5"/>
    </row>
    <row r="5" customFormat="false" ht="15" hidden="false" customHeight="true" outlineLevel="0" collapsed="false">
      <c r="B5" s="16" t="s">
        <v>96</v>
      </c>
      <c r="C5" s="16"/>
      <c r="D5" s="16"/>
      <c r="E5" s="16"/>
      <c r="F5" s="17" t="n">
        <v>10000</v>
      </c>
    </row>
    <row r="7" customFormat="false" ht="23.25" hidden="false" customHeight="true" outlineLevel="0" collapsed="false">
      <c r="B7" s="33" t="s">
        <v>97</v>
      </c>
      <c r="C7" s="34" t="s">
        <v>98</v>
      </c>
      <c r="D7" s="34" t="s">
        <v>99</v>
      </c>
      <c r="E7" s="34" t="s">
        <v>100</v>
      </c>
      <c r="F7" s="34" t="s">
        <v>101</v>
      </c>
    </row>
    <row r="8" customFormat="false" ht="15" hidden="false" customHeight="true" outlineLevel="0" collapsed="false">
      <c r="B8" s="22" t="s">
        <v>102</v>
      </c>
      <c r="C8" s="35" t="n">
        <v>90000</v>
      </c>
      <c r="D8" s="41" t="n">
        <v>0.5</v>
      </c>
      <c r="E8" s="39" t="n">
        <f aca="false">D8*$F$5</f>
        <v>5000</v>
      </c>
      <c r="F8" s="42" t="n">
        <f aca="false">C8/E8</f>
        <v>18</v>
      </c>
    </row>
    <row r="9" customFormat="false" ht="15" hidden="false" customHeight="true" outlineLevel="0" collapsed="false">
      <c r="B9" s="22" t="s">
        <v>103</v>
      </c>
      <c r="C9" s="35" t="n">
        <v>135000</v>
      </c>
      <c r="D9" s="41" t="n">
        <v>0.25</v>
      </c>
      <c r="E9" s="39" t="n">
        <f aca="false">D9*$F$5</f>
        <v>2500</v>
      </c>
      <c r="F9" s="42" t="n">
        <f aca="false">C9/E9</f>
        <v>54</v>
      </c>
    </row>
    <row r="10" customFormat="false" ht="15" hidden="false" customHeight="true" outlineLevel="0" collapsed="false">
      <c r="B10" s="22" t="s">
        <v>104</v>
      </c>
      <c r="C10" s="35" t="n">
        <v>45000</v>
      </c>
      <c r="D10" s="41" t="n">
        <v>5</v>
      </c>
      <c r="E10" s="39" t="n">
        <f aca="false">D10*$F$5</f>
        <v>50000</v>
      </c>
      <c r="F10" s="42" t="n">
        <f aca="false">C10/E10</f>
        <v>0.9</v>
      </c>
    </row>
    <row r="11" customFormat="false" ht="15" hidden="false" customHeight="true" outlineLevel="0" collapsed="false">
      <c r="B11" s="22" t="s">
        <v>105</v>
      </c>
      <c r="C11" s="35" t="n">
        <v>180000</v>
      </c>
      <c r="D11" s="41" t="n">
        <v>1</v>
      </c>
      <c r="E11" s="39" t="n">
        <f aca="false">D11*$F$5</f>
        <v>10000</v>
      </c>
      <c r="F11" s="42" t="n">
        <f aca="false">C11/E11</f>
        <v>18</v>
      </c>
    </row>
    <row r="13" customFormat="false" ht="34.5" hidden="false" customHeight="true" outlineLevel="0" collapsed="false">
      <c r="B13" s="24" t="s">
        <v>106</v>
      </c>
    </row>
    <row r="15" customFormat="false" ht="15" hidden="false" customHeight="true" outlineLevel="0" collapsed="false">
      <c r="B15" s="15" t="s">
        <v>51</v>
      </c>
    </row>
    <row r="16" customFormat="false" ht="24.75" hidden="false" customHeight="true" outlineLevel="0" collapsed="false">
      <c r="B16" s="26" t="s">
        <v>107</v>
      </c>
      <c r="C16" s="26"/>
      <c r="D16" s="26"/>
      <c r="E16" s="26"/>
      <c r="F16" s="26"/>
    </row>
    <row r="17" customFormat="false" ht="24" hidden="false" customHeight="true" outlineLevel="0" collapsed="false">
      <c r="B17" s="27" t="s">
        <v>108</v>
      </c>
      <c r="C17" s="27"/>
      <c r="D17" s="27"/>
      <c r="E17" s="27"/>
      <c r="F17" s="27"/>
    </row>
    <row r="18" customFormat="false" ht="24" hidden="false" customHeight="true" outlineLevel="0" collapsed="false">
      <c r="B18" s="27"/>
      <c r="C18" s="27"/>
      <c r="D18" s="27"/>
      <c r="E18" s="27"/>
      <c r="F18" s="27"/>
    </row>
  </sheetData>
  <mergeCells count="5">
    <mergeCell ref="B1:G1"/>
    <mergeCell ref="B2:G2"/>
    <mergeCell ref="B5:E5"/>
    <mergeCell ref="B16:F16"/>
    <mergeCell ref="B17:F18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2026-06-10T05:09:51Z</dcterms:created>
  <dc:creator>openpyxl</dc:creator>
  <dc:description/>
  <dc:language>en-US</dc:language>
  <cp:lastModifiedBy>Microsoft Office User</cp:lastModifiedBy>
  <dcterms:modified xsi:type="dcterms:W3CDTF">2026-07-21T07:23:22Z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