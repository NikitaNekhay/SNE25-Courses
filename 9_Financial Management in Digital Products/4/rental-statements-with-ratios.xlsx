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Y:\MEGA\SNE-25\9_Unit_Economics\4\"/>
    </mc:Choice>
  </mc:AlternateContent>
  <xr:revisionPtr revIDLastSave="0" documentId="13_ncr:1_{2E61A77D-3B4F-40C0-BA22-78E642843536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Assumptions" sheetId="1" r:id="rId1"/>
    <sheet name="P&amp;L" sheetId="2" r:id="rId2"/>
    <sheet name="Balance Sheet" sheetId="3" r:id="rId3"/>
    <sheet name="Cash Flow" sheetId="4" r:id="rId4"/>
    <sheet name="Ratio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5" l="1"/>
  <c r="B6" i="5"/>
  <c r="B12" i="4"/>
  <c r="D8" i="4"/>
  <c r="C8" i="4"/>
  <c r="B8" i="4"/>
  <c r="D5" i="4"/>
  <c r="C5" i="4"/>
  <c r="B5" i="4"/>
  <c r="B11" i="3"/>
  <c r="D7" i="3"/>
  <c r="C7" i="3"/>
  <c r="B7" i="3"/>
  <c r="D6" i="3"/>
  <c r="C6" i="3"/>
  <c r="B6" i="3"/>
  <c r="D5" i="3"/>
  <c r="C5" i="3"/>
  <c r="B5" i="3"/>
  <c r="D10" i="2"/>
  <c r="C10" i="2"/>
  <c r="B10" i="2"/>
  <c r="D9" i="2"/>
  <c r="C9" i="2"/>
  <c r="B9" i="2"/>
  <c r="B8" i="5" s="1"/>
  <c r="D8" i="2"/>
  <c r="C8" i="2"/>
  <c r="B8" i="2"/>
  <c r="B7" i="5" s="1"/>
  <c r="D5" i="2"/>
  <c r="C5" i="2"/>
  <c r="B5" i="2"/>
  <c r="B5" i="5" s="1"/>
  <c r="B9" i="1"/>
  <c r="D9" i="4" s="1"/>
  <c r="B7" i="1"/>
  <c r="C27" i="5" l="1"/>
  <c r="B20" i="5"/>
  <c r="B9" i="5"/>
  <c r="C11" i="2"/>
  <c r="C10" i="4" s="1"/>
  <c r="D11" i="2"/>
  <c r="D10" i="4" s="1"/>
  <c r="D11" i="4" s="1"/>
  <c r="C11" i="3"/>
  <c r="B9" i="4"/>
  <c r="D11" i="3"/>
  <c r="B11" i="2"/>
  <c r="C9" i="4"/>
  <c r="C29" i="5" l="1"/>
  <c r="C28" i="5"/>
  <c r="D12" i="2"/>
  <c r="B10" i="5"/>
  <c r="B10" i="4"/>
  <c r="B11" i="4" s="1"/>
  <c r="C12" i="2"/>
  <c r="C11" i="4"/>
  <c r="B15" i="5"/>
  <c r="B12" i="2"/>
  <c r="B13" i="4" l="1"/>
  <c r="B12" i="5"/>
  <c r="C32" i="5" s="1"/>
  <c r="B11" i="5"/>
  <c r="C26" i="5" l="1"/>
  <c r="C23" i="5"/>
  <c r="B8" i="3"/>
  <c r="B9" i="3" s="1"/>
  <c r="C12" i="4"/>
  <c r="C13" i="4" s="1"/>
  <c r="C8" i="3" l="1"/>
  <c r="C9" i="3" s="1"/>
  <c r="D12" i="4"/>
  <c r="D13" i="4" s="1"/>
  <c r="D8" i="3" s="1"/>
  <c r="B12" i="3"/>
  <c r="B13" i="3" s="1"/>
  <c r="B14" i="3" s="1"/>
  <c r="B16" i="5" l="1"/>
  <c r="D9" i="3"/>
  <c r="C12" i="3"/>
  <c r="C13" i="3" s="1"/>
  <c r="C14" i="3"/>
  <c r="B13" i="5" l="1"/>
  <c r="C24" i="5" s="1"/>
  <c r="D12" i="3"/>
  <c r="C31" i="5"/>
  <c r="C30" i="5"/>
  <c r="B14" i="5" l="1"/>
  <c r="C25" i="5" s="1"/>
  <c r="D13" i="3"/>
  <c r="D14" i="3" s="1"/>
</calcChain>
</file>

<file path=xl/sharedStrings.xml><?xml version="1.0" encoding="utf-8"?>
<sst xmlns="http://schemas.openxmlformats.org/spreadsheetml/2006/main" count="101" uniqueCount="91">
  <si>
    <t>Case: Renting Out One Apartment — Assumptions</t>
  </si>
  <si>
    <t>Item</t>
  </si>
  <si>
    <t>Value</t>
  </si>
  <si>
    <t>Apartment value</t>
  </si>
  <si>
    <t>Furniture, appliances, and other property</t>
  </si>
  <si>
    <t>Initial renovation cost</t>
  </si>
  <si>
    <t>Monthly depreciation of renovation + furniture/appliances (20 years to zero)</t>
  </si>
  <si>
    <t>Mortgage debt at the beginning of January</t>
  </si>
  <si>
    <t>Monthly mortgage principal repayment (49,000 payment minus interest)</t>
  </si>
  <si>
    <t>Monthly mortgage interest</t>
  </si>
  <si>
    <t>Cash balance at the beginning of January</t>
  </si>
  <si>
    <t>Monthly rent</t>
  </si>
  <si>
    <t>Income tax rate</t>
  </si>
  <si>
    <t>All amounts are in rubles. Yellow cells are assumptions used by formulas in the statements. Renovation and furniture/appliances depreciate to zero over 20 full years. Monthly mortgage cash payment is 49,000: interest plus principal repayment.</t>
  </si>
  <si>
    <t>Profit &amp; Loss Statement</t>
  </si>
  <si>
    <t>Monthly view, accrual basis</t>
  </si>
  <si>
    <t>P&amp;L item</t>
  </si>
  <si>
    <t>January</t>
  </si>
  <si>
    <t>February</t>
  </si>
  <si>
    <t>March</t>
  </si>
  <si>
    <t>Rental revenue</t>
  </si>
  <si>
    <t>Utilities paid by owner</t>
  </si>
  <si>
    <t>Maintenance and repairs</t>
  </si>
  <si>
    <t>Mortgage interest</t>
  </si>
  <si>
    <t>Depreciation of renovation + furniture/appliances</t>
  </si>
  <si>
    <t>Profit before tax</t>
  </si>
  <si>
    <t>Income tax</t>
  </si>
  <si>
    <t>Net profit</t>
  </si>
  <si>
    <t>Teaching note: tax reduces accounting profit in P&amp;L and is also a real cash outflow in Cash Flow. Depreciation reduces profit but does not create cash outflow in the month.</t>
  </si>
  <si>
    <t>Balance Sheet</t>
  </si>
  <si>
    <t>Position at the end of each month</t>
  </si>
  <si>
    <t>Balance Sheet item</t>
  </si>
  <si>
    <t>End of January</t>
  </si>
  <si>
    <t>End of February</t>
  </si>
  <si>
    <t>End of March</t>
  </si>
  <si>
    <t>Apartment</t>
  </si>
  <si>
    <t>Furniture, appliances, and other property, net book value</t>
  </si>
  <si>
    <t>Renovation, net book value</t>
  </si>
  <si>
    <t>Cash</t>
  </si>
  <si>
    <t>Total assets</t>
  </si>
  <si>
    <t>Mortgage debt</t>
  </si>
  <si>
    <t>Owner’s equity</t>
  </si>
  <si>
    <t>Total liabilities and equity</t>
  </si>
  <si>
    <t>Check: Assets - Liabilities &amp; Equity</t>
  </si>
  <si>
    <t>Teaching note: the Balance Sheet connects P&amp;L and Cash Flow through assets, debt, cash, and equity.</t>
  </si>
  <si>
    <t>Cash Flow Statement</t>
  </si>
  <si>
    <t>Monthly cash movement</t>
  </si>
  <si>
    <t>Cash Flow item</t>
  </si>
  <si>
    <t>Cash received from tenant</t>
  </si>
  <si>
    <t>Utilities paid</t>
  </si>
  <si>
    <t>Maintenance and repairs paid</t>
  </si>
  <si>
    <t>Mortgage interest paid</t>
  </si>
  <si>
    <t>Mortgage principal repaid</t>
  </si>
  <si>
    <t>Income tax paid</t>
  </si>
  <si>
    <t>Net cash flow for the month</t>
  </si>
  <si>
    <t>Cash balance at the beginning of the month</t>
  </si>
  <si>
    <t>Cash balance at the end of the month</t>
  </si>
  <si>
    <t>Teaching note: tax is both an expense in P&amp;L and a cash outflow in Cash Flow. Depreciation of renovation and furniture/appliances is not a monthly cash outflow here. The 49,000 mortgage payment is split into interest and principal; only interest is an expense in P&amp;L.</t>
  </si>
  <si>
    <t>Building blocks (quarter)</t>
  </si>
  <si>
    <t>Operating cash costs</t>
  </si>
  <si>
    <t>Depreciation</t>
  </si>
  <si>
    <t>Operating net cash flow</t>
  </si>
  <si>
    <t>Total assets (end Mar)</t>
  </si>
  <si>
    <t>Owners equity (end Mar)</t>
  </si>
  <si>
    <t>Mortgage debt (end Mar)</t>
  </si>
  <si>
    <t>Cash (end Mar)</t>
  </si>
  <si>
    <t>Asset base (price proxy)</t>
  </si>
  <si>
    <t>EBITDA = revenue minus operating cash costs (before interest tax depreciation)</t>
  </si>
  <si>
    <t>EBITDA</t>
  </si>
  <si>
    <t>Ratio</t>
  </si>
  <si>
    <t>Formula (plain)</t>
  </si>
  <si>
    <t>P/E</t>
  </si>
  <si>
    <t>Asset price / annual net profit</t>
  </si>
  <si>
    <t>ROA</t>
  </si>
  <si>
    <t>Annual net profit / total assets</t>
  </si>
  <si>
    <t>ROE</t>
  </si>
  <si>
    <t>Annual net profit / owner equity</t>
  </si>
  <si>
    <t>Net Profit Margin</t>
  </si>
  <si>
    <t>Net profit / revenue</t>
  </si>
  <si>
    <t>Gross Margin</t>
  </si>
  <si>
    <t>(Revenue minus direct operating costs) / revenue</t>
  </si>
  <si>
    <t>Revenue minus operating cash costs</t>
  </si>
  <si>
    <t>EBITDA Margin</t>
  </si>
  <si>
    <t>EBITDA / revenue</t>
  </si>
  <si>
    <t>Net Debt / EBITDA</t>
  </si>
  <si>
    <t>(Mortgage minus cash) / annual EBITDA</t>
  </si>
  <si>
    <t>EV / EBITDA</t>
  </si>
  <si>
    <t>(Asset price plus net debt) / annual EBITDA</t>
  </si>
  <si>
    <t>Cash Conversion</t>
  </si>
  <si>
    <t>Operating net cash flow / EBITDA</t>
  </si>
  <si>
    <t>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</si>
</sst>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[Red]\(#,##0\)"/>
    <numFmt numFmtId="165" formatCode="#,##0.0"/>
    <numFmt numFmtId="166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1F4E78"/>
      <name val="Calibri"/>
      <charset val="1"/>
    </font>
    <font>
      <b/>
      <sz val="11"/>
      <color rgb="FFFFFFFF"/>
      <name val="Calibri"/>
      <charset val="1"/>
    </font>
    <font>
      <sz val="11"/>
      <name val="Calibri"/>
      <charset val="1"/>
    </font>
    <font>
      <i/>
      <sz val="11"/>
      <color rgb="FF666666"/>
      <name val="Calibri"/>
      <charset val="1"/>
    </font>
    <font>
      <b/>
      <sz val="11"/>
      <name val="Calibri"/>
      <charset val="1"/>
    </font>
    <font>
      <b/>
      <sz val="11"/>
      <color rgb="FF008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F0D9"/>
      </patternFill>
    </fill>
    <fill>
      <patternFill patternType="solid">
        <fgColor rgb="FFD9EAF7"/>
        <bgColor rgb="FFE2EFDA"/>
      </patternFill>
    </fill>
    <fill>
      <patternFill patternType="solid">
        <fgColor rgb="FFE2F0D9"/>
        <bgColor rgb="FFE2EFDA"/>
      </patternFill>
    </fill>
    <fill>
      <patternFill patternType="solid">
        <fgColor rgb="FF192E40"/>
        <bgColor rgb="FF003366"/>
      </patternFill>
    </fill>
    <fill>
      <patternFill patternType="solid">
        <fgColor rgb="FFE2EFDA"/>
        <bgColor rgb="FFE2F0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0" fillId="3" borderId="1" xfId="0" applyNumberFormat="1" applyFill="1" applyBorder="1" applyAlignment="1">
      <alignment vertical="center"/>
    </xf>
    <xf numFmtId="0" fontId="3" fillId="3" borderId="1" xfId="0" applyFont="1" applyFill="1" applyBorder="1"/>
    <xf numFmtId="9" fontId="3" fillId="3" borderId="1" xfId="0" applyNumberFormat="1" applyFont="1" applyFill="1" applyBorder="1"/>
    <xf numFmtId="0" fontId="4" fillId="0" borderId="1" xfId="0" applyFont="1" applyBorder="1" applyAlignment="1">
      <alignment vertical="center"/>
    </xf>
    <xf numFmtId="3" fontId="2" fillId="2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0" fontId="5" fillId="0" borderId="0" xfId="0" applyFont="1"/>
    <xf numFmtId="3" fontId="0" fillId="0" borderId="0" xfId="0" applyNumberFormat="1"/>
    <xf numFmtId="3" fontId="5" fillId="0" borderId="0" xfId="0" applyNumberFormat="1" applyFont="1"/>
    <xf numFmtId="0" fontId="2" fillId="6" borderId="0" xfId="0" applyFont="1" applyFill="1"/>
    <xf numFmtId="0" fontId="5" fillId="0" borderId="1" xfId="0" applyFont="1" applyBorder="1"/>
    <xf numFmtId="0" fontId="0" fillId="0" borderId="1" xfId="0" applyFont="1" applyBorder="1"/>
    <xf numFmtId="165" fontId="5" fillId="7" borderId="1" xfId="0" applyNumberFormat="1" applyFont="1" applyFill="1" applyBorder="1"/>
    <xf numFmtId="166" fontId="5" fillId="7" borderId="1" xfId="0" applyNumberFormat="1" applyFont="1" applyFill="1" applyBorder="1"/>
    <xf numFmtId="3" fontId="5" fillId="7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666666"/>
      <rgbColor rgb="FF888888"/>
      <rgbColor rgb="FF003366"/>
      <rgbColor rgb="FF339966"/>
      <rgbColor rgb="FF003300"/>
      <rgbColor rgb="FF333300"/>
      <rgbColor rgb="FF993300"/>
      <rgbColor rgb="FF993366"/>
      <rgbColor rgb="FF1F4E78"/>
      <rgbColor rgb="FF192E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Net profit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DB1B-4394-BE9B-93098DB83752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DB1B-4394-BE9B-93098DB83752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DB1B-4394-BE9B-93098DB8375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DB1B-4394-BE9B-93098DB8375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DB1B-4394-BE9B-93098DB8375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DB1B-4394-BE9B-93098DB83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'P&amp;L'!$B$4:$D$4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'P&amp;L'!$B$10:$D$10</c:f>
              <c:numCache>
                <c:formatCode>#,##0</c:formatCode>
                <c:ptCount val="3"/>
                <c:pt idx="0">
                  <c:v>29000</c:v>
                </c:pt>
                <c:pt idx="1">
                  <c:v>18500</c:v>
                </c:pt>
                <c:pt idx="2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1B-4394-BE9B-93098DB83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46860"/>
        <c:axId val="70711317"/>
      </c:barChart>
      <c:catAx>
        <c:axId val="11846860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0711317"/>
        <c:crosses val="autoZero"/>
        <c:auto val="1"/>
        <c:lblAlgn val="ctr"/>
        <c:lblOffset val="100"/>
        <c:noMultiLvlLbl val="0"/>
      </c:catAx>
      <c:valAx>
        <c:axId val="70711317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Rubles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crossAx val="118468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GB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Net cash flow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E950-40E5-B519-1AC309043AA8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950-40E5-B519-1AC309043AA8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950-40E5-B519-1AC309043AA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950-40E5-B519-1AC309043AA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950-40E5-B519-1AC309043AA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950-40E5-B519-1AC309043A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'Cash Flow'!$B$4:$D$4</c:f>
              <c:strCache>
                <c:ptCount val="3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</c:strCache>
            </c:strRef>
          </c:cat>
          <c:val>
            <c:numRef>
              <c:f>'Cash Flow'!$B$10:$D$10</c:f>
              <c:numCache>
                <c:formatCode>#,##0</c:formatCode>
                <c:ptCount val="3"/>
                <c:pt idx="0">
                  <c:v>-3770</c:v>
                </c:pt>
                <c:pt idx="1">
                  <c:v>-2405</c:v>
                </c:pt>
                <c:pt idx="2">
                  <c:v>-3510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0-40E5-B519-1AC309043A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72927"/>
        <c:axId val="6475412"/>
      </c:barChart>
      <c:catAx>
        <c:axId val="96772927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6475412"/>
        <c:crosses val="autoZero"/>
        <c:auto val="1"/>
        <c:lblAlgn val="ctr"/>
        <c:lblOffset val="100"/>
        <c:noMultiLvlLbl val="0"/>
      </c:catAx>
      <c:valAx>
        <c:axId val="6475412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GB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GB" sz="1000" b="1" strike="noStrike" spc="-1">
                    <a:solidFill>
                      <a:srgbClr val="000000"/>
                    </a:solidFill>
                    <a:latin typeface="Calibri"/>
                  </a:rPr>
                  <a:t>Rubles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crossAx val="967729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13</xdr:col>
      <xdr:colOff>421200</xdr:colOff>
      <xdr:row>16</xdr:row>
      <xdr:rowOff>53640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13</xdr:col>
      <xdr:colOff>421200</xdr:colOff>
      <xdr:row>15</xdr:row>
      <xdr:rowOff>413640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="143" zoomScaleNormal="143" workbookViewId="0">
      <pane ySplit="3" topLeftCell="A4" activePane="bottomLeft" state="frozen"/>
      <selection pane="bottomLeft" activeCell="A21" sqref="A21"/>
    </sheetView>
  </sheetViews>
  <sheetFormatPr defaultColWidth="8.77734375" defaultRowHeight="14.4" x14ac:dyDescent="0.3"/>
  <cols>
    <col min="1" max="1" width="78" customWidth="1"/>
    <col min="2" max="2" width="18" customWidth="1"/>
  </cols>
  <sheetData>
    <row r="1" spans="1:2" ht="21" customHeight="1" x14ac:dyDescent="0.3">
      <c r="A1" s="2" t="s">
        <v>0</v>
      </c>
      <c r="B1" s="3"/>
    </row>
    <row r="2" spans="1:2" x14ac:dyDescent="0.3">
      <c r="A2" s="3"/>
      <c r="B2" s="3"/>
    </row>
    <row r="3" spans="1:2" x14ac:dyDescent="0.3">
      <c r="A3" s="4" t="s">
        <v>1</v>
      </c>
      <c r="B3" s="4" t="s">
        <v>2</v>
      </c>
    </row>
    <row r="4" spans="1:2" x14ac:dyDescent="0.3">
      <c r="A4" s="3" t="s">
        <v>3</v>
      </c>
      <c r="B4" s="5">
        <v>13000000</v>
      </c>
    </row>
    <row r="5" spans="1:2" x14ac:dyDescent="0.3">
      <c r="A5" s="3" t="s">
        <v>4</v>
      </c>
      <c r="B5" s="5">
        <v>3600000</v>
      </c>
    </row>
    <row r="6" spans="1:2" x14ac:dyDescent="0.3">
      <c r="A6" s="3" t="s">
        <v>5</v>
      </c>
      <c r="B6" s="5">
        <v>2400000</v>
      </c>
    </row>
    <row r="7" spans="1:2" x14ac:dyDescent="0.3">
      <c r="A7" s="3" t="s">
        <v>6</v>
      </c>
      <c r="B7" s="5">
        <f>(B5+B6)/(20*12)</f>
        <v>25000</v>
      </c>
    </row>
    <row r="8" spans="1:2" x14ac:dyDescent="0.3">
      <c r="A8" s="3" t="s">
        <v>7</v>
      </c>
      <c r="B8" s="5">
        <v>10000000</v>
      </c>
    </row>
    <row r="9" spans="1:2" x14ac:dyDescent="0.3">
      <c r="A9" s="3" t="s">
        <v>8</v>
      </c>
      <c r="B9" s="5">
        <f>49000-B10</f>
        <v>34000</v>
      </c>
    </row>
    <row r="10" spans="1:2" x14ac:dyDescent="0.3">
      <c r="A10" s="3" t="s">
        <v>9</v>
      </c>
      <c r="B10" s="5">
        <v>15000</v>
      </c>
    </row>
    <row r="11" spans="1:2" x14ac:dyDescent="0.3">
      <c r="A11" s="3" t="s">
        <v>10</v>
      </c>
      <c r="B11" s="5">
        <v>200000</v>
      </c>
    </row>
    <row r="12" spans="1:2" x14ac:dyDescent="0.3">
      <c r="A12" s="3" t="s">
        <v>11</v>
      </c>
      <c r="B12" s="5">
        <v>80000</v>
      </c>
    </row>
    <row r="13" spans="1:2" x14ac:dyDescent="0.3">
      <c r="A13" s="6" t="s">
        <v>12</v>
      </c>
      <c r="B13" s="7">
        <v>0.13</v>
      </c>
    </row>
    <row r="14" spans="1:2" x14ac:dyDescent="0.3">
      <c r="A14" s="3"/>
      <c r="B14" s="3"/>
    </row>
    <row r="15" spans="1:2" x14ac:dyDescent="0.3">
      <c r="A15" s="3"/>
      <c r="B15" s="3"/>
    </row>
    <row r="16" spans="1:2" x14ac:dyDescent="0.3">
      <c r="A16" s="8" t="s">
        <v>13</v>
      </c>
      <c r="B16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="115" zoomScaleNormal="11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6" sqref="C16"/>
    </sheetView>
  </sheetViews>
  <sheetFormatPr defaultColWidth="8.77734375" defaultRowHeight="14.4" x14ac:dyDescent="0.3"/>
  <cols>
    <col min="1" max="1" width="35" customWidth="1"/>
    <col min="2" max="4" width="15" customWidth="1"/>
  </cols>
  <sheetData>
    <row r="1" spans="1:4" ht="21" customHeight="1" x14ac:dyDescent="0.3">
      <c r="A1" s="2" t="s">
        <v>14</v>
      </c>
      <c r="B1" s="3"/>
      <c r="C1" s="3"/>
      <c r="D1" s="3"/>
    </row>
    <row r="2" spans="1:4" x14ac:dyDescent="0.3">
      <c r="A2" s="8" t="s">
        <v>15</v>
      </c>
      <c r="B2" s="3"/>
      <c r="C2" s="3"/>
      <c r="D2" s="3"/>
    </row>
    <row r="3" spans="1:4" x14ac:dyDescent="0.3">
      <c r="A3" s="3"/>
      <c r="B3" s="3"/>
      <c r="C3" s="3"/>
      <c r="D3" s="3"/>
    </row>
    <row r="4" spans="1:4" x14ac:dyDescent="0.3">
      <c r="A4" s="4" t="s">
        <v>16</v>
      </c>
      <c r="B4" s="9" t="s">
        <v>17</v>
      </c>
      <c r="C4" s="9" t="s">
        <v>18</v>
      </c>
      <c r="D4" s="9" t="s">
        <v>19</v>
      </c>
    </row>
    <row r="5" spans="1:4" x14ac:dyDescent="0.3">
      <c r="A5" s="10" t="s">
        <v>20</v>
      </c>
      <c r="B5" s="11">
        <f>Assumptions!$B$12</f>
        <v>80000</v>
      </c>
      <c r="C5" s="11">
        <f>Assumptions!$B$12</f>
        <v>80000</v>
      </c>
      <c r="D5" s="11">
        <f>Assumptions!$B$12</f>
        <v>80000</v>
      </c>
    </row>
    <row r="6" spans="1:4" x14ac:dyDescent="0.3">
      <c r="A6" s="10" t="s">
        <v>21</v>
      </c>
      <c r="B6" s="11">
        <v>-6000</v>
      </c>
      <c r="C6" s="11">
        <v>-6500</v>
      </c>
      <c r="D6" s="11">
        <v>-6000</v>
      </c>
    </row>
    <row r="7" spans="1:4" x14ac:dyDescent="0.3">
      <c r="A7" s="10" t="s">
        <v>22</v>
      </c>
      <c r="B7" s="11">
        <v>-5000</v>
      </c>
      <c r="C7" s="11">
        <v>-15000</v>
      </c>
      <c r="D7" s="11">
        <v>-7000</v>
      </c>
    </row>
    <row r="8" spans="1:4" x14ac:dyDescent="0.3">
      <c r="A8" s="10" t="s">
        <v>23</v>
      </c>
      <c r="B8" s="11">
        <f>-Assumptions!$B$10</f>
        <v>-15000</v>
      </c>
      <c r="C8" s="11">
        <f>-Assumptions!$B$10</f>
        <v>-15000</v>
      </c>
      <c r="D8" s="11">
        <f>-Assumptions!$B$10</f>
        <v>-15000</v>
      </c>
    </row>
    <row r="9" spans="1:4" x14ac:dyDescent="0.3">
      <c r="A9" s="10" t="s">
        <v>24</v>
      </c>
      <c r="B9" s="11">
        <f>-Assumptions!$B$7</f>
        <v>-25000</v>
      </c>
      <c r="C9" s="11">
        <f>-Assumptions!$B$7</f>
        <v>-25000</v>
      </c>
      <c r="D9" s="11">
        <f>-Assumptions!$B$7</f>
        <v>-25000</v>
      </c>
    </row>
    <row r="10" spans="1:4" x14ac:dyDescent="0.3">
      <c r="A10" s="12" t="s">
        <v>25</v>
      </c>
      <c r="B10" s="13">
        <f>SUM(B5:B9)</f>
        <v>29000</v>
      </c>
      <c r="C10" s="13">
        <f>SUM(C5:C9)</f>
        <v>18500</v>
      </c>
      <c r="D10" s="13">
        <f>SUM(D5:D9)</f>
        <v>27000</v>
      </c>
    </row>
    <row r="11" spans="1:4" x14ac:dyDescent="0.3">
      <c r="A11" s="3" t="s">
        <v>26</v>
      </c>
      <c r="B11" s="11">
        <f>-MAX(0,B10*Assumptions!$B$13)</f>
        <v>-3770</v>
      </c>
      <c r="C11" s="11">
        <f>-MAX(0,C10*Assumptions!$B$13)</f>
        <v>-2405</v>
      </c>
      <c r="D11" s="11">
        <f>-MAX(0,D10*Assumptions!$B$13)</f>
        <v>-3510</v>
      </c>
    </row>
    <row r="12" spans="1:4" x14ac:dyDescent="0.3">
      <c r="A12" s="12" t="s">
        <v>27</v>
      </c>
      <c r="B12" s="13">
        <f>B10+B11</f>
        <v>25230</v>
      </c>
      <c r="C12" s="13">
        <f>C10+C11</f>
        <v>16095</v>
      </c>
      <c r="D12" s="13">
        <f>D10+D11</f>
        <v>23490</v>
      </c>
    </row>
    <row r="13" spans="1:4" x14ac:dyDescent="0.3">
      <c r="A13" s="8"/>
      <c r="B13" s="3"/>
      <c r="C13" s="3"/>
      <c r="D13" s="3"/>
    </row>
    <row r="14" spans="1:4" ht="28.35" customHeight="1" x14ac:dyDescent="0.3">
      <c r="A14" s="1" t="s">
        <v>28</v>
      </c>
      <c r="B14" s="1"/>
      <c r="C14" s="1"/>
      <c r="D14" s="1"/>
    </row>
  </sheetData>
  <mergeCells count="1">
    <mergeCell ref="A14:D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1" sqref="A11"/>
    </sheetView>
  </sheetViews>
  <sheetFormatPr defaultColWidth="8.77734375" defaultRowHeight="14.4" x14ac:dyDescent="0.3"/>
  <cols>
    <col min="1" max="1" width="42" customWidth="1"/>
    <col min="2" max="4" width="18" customWidth="1"/>
  </cols>
  <sheetData>
    <row r="1" spans="1:4" ht="21" customHeight="1" x14ac:dyDescent="0.3">
      <c r="A1" s="2" t="s">
        <v>29</v>
      </c>
      <c r="B1" s="3"/>
      <c r="C1" s="3"/>
      <c r="D1" s="3"/>
    </row>
    <row r="2" spans="1:4" x14ac:dyDescent="0.3">
      <c r="A2" s="8" t="s">
        <v>30</v>
      </c>
      <c r="B2" s="3"/>
      <c r="C2" s="3"/>
      <c r="D2" s="3"/>
    </row>
    <row r="3" spans="1:4" x14ac:dyDescent="0.3">
      <c r="A3" s="3"/>
      <c r="B3" s="3"/>
      <c r="C3" s="3"/>
      <c r="D3" s="3"/>
    </row>
    <row r="4" spans="1:4" x14ac:dyDescent="0.3">
      <c r="A4" s="4" t="s">
        <v>31</v>
      </c>
      <c r="B4" s="9" t="s">
        <v>32</v>
      </c>
      <c r="C4" s="9" t="s">
        <v>33</v>
      </c>
      <c r="D4" s="9" t="s">
        <v>34</v>
      </c>
    </row>
    <row r="5" spans="1:4" x14ac:dyDescent="0.3">
      <c r="A5" s="10" t="s">
        <v>35</v>
      </c>
      <c r="B5" s="11">
        <f>Assumptions!$B$4</f>
        <v>13000000</v>
      </c>
      <c r="C5" s="11">
        <f>Assumptions!$B$4</f>
        <v>13000000</v>
      </c>
      <c r="D5" s="11">
        <f>Assumptions!$B$4</f>
        <v>13000000</v>
      </c>
    </row>
    <row r="6" spans="1:4" x14ac:dyDescent="0.3">
      <c r="A6" s="10" t="s">
        <v>36</v>
      </c>
      <c r="B6" s="11">
        <f>Assumptions!$B$5-Assumptions!$B$5/(20*12)</f>
        <v>3585000</v>
      </c>
      <c r="C6" s="11">
        <f>Assumptions!$B$5-Assumptions!$B$5/(20*12)*2</f>
        <v>3570000</v>
      </c>
      <c r="D6" s="11">
        <f>Assumptions!$B$5-Assumptions!$B$5/(20*12)*3</f>
        <v>3555000</v>
      </c>
    </row>
    <row r="7" spans="1:4" x14ac:dyDescent="0.3">
      <c r="A7" s="10" t="s">
        <v>37</v>
      </c>
      <c r="B7" s="11">
        <f>Assumptions!$B$6-Assumptions!$B$6/(20*12)</f>
        <v>2390000</v>
      </c>
      <c r="C7" s="11">
        <f>Assumptions!$B$6-Assumptions!$B$6/(20*12)*2</f>
        <v>2380000</v>
      </c>
      <c r="D7" s="11">
        <f>Assumptions!$B$6-Assumptions!$B$6/(20*12)*3</f>
        <v>2370000</v>
      </c>
    </row>
    <row r="8" spans="1:4" x14ac:dyDescent="0.3">
      <c r="A8" s="10" t="s">
        <v>38</v>
      </c>
      <c r="B8" s="11">
        <f>'Cash Flow'!B13</f>
        <v>216230</v>
      </c>
      <c r="C8" s="11">
        <f>'Cash Flow'!C13</f>
        <v>223325</v>
      </c>
      <c r="D8" s="11">
        <f>'Cash Flow'!D13</f>
        <v>237815</v>
      </c>
    </row>
    <row r="9" spans="1:4" x14ac:dyDescent="0.3">
      <c r="A9" s="14" t="s">
        <v>39</v>
      </c>
      <c r="B9" s="15">
        <f>SUM(B5:B8)</f>
        <v>19191230</v>
      </c>
      <c r="C9" s="15">
        <f>SUM(C5:C8)</f>
        <v>19173325</v>
      </c>
      <c r="D9" s="15">
        <f>SUM(D5:D8)</f>
        <v>19162815</v>
      </c>
    </row>
    <row r="10" spans="1:4" x14ac:dyDescent="0.3">
      <c r="A10" s="10"/>
      <c r="B10" s="16"/>
      <c r="C10" s="16"/>
      <c r="D10" s="16"/>
    </row>
    <row r="11" spans="1:4" x14ac:dyDescent="0.3">
      <c r="A11" s="10" t="s">
        <v>40</v>
      </c>
      <c r="B11" s="11">
        <f>Assumptions!$B$8-Assumptions!$B$9</f>
        <v>9966000</v>
      </c>
      <c r="C11" s="11">
        <f>Assumptions!$B$8-Assumptions!$B$9*2</f>
        <v>9932000</v>
      </c>
      <c r="D11" s="11">
        <f>Assumptions!$B$8-Assumptions!$B$9*3</f>
        <v>9898000</v>
      </c>
    </row>
    <row r="12" spans="1:4" x14ac:dyDescent="0.3">
      <c r="A12" s="14" t="s">
        <v>41</v>
      </c>
      <c r="B12" s="15">
        <f>B9-B11</f>
        <v>9225230</v>
      </c>
      <c r="C12" s="15">
        <f>C9-C11</f>
        <v>9241325</v>
      </c>
      <c r="D12" s="15">
        <f>D9-D11</f>
        <v>9264815</v>
      </c>
    </row>
    <row r="13" spans="1:4" x14ac:dyDescent="0.3">
      <c r="A13" s="14" t="s">
        <v>42</v>
      </c>
      <c r="B13" s="15">
        <f>B11+B12</f>
        <v>19191230</v>
      </c>
      <c r="C13" s="15">
        <f>C11+C12</f>
        <v>19173325</v>
      </c>
      <c r="D13" s="15">
        <f>D11+D12</f>
        <v>19162815</v>
      </c>
    </row>
    <row r="14" spans="1:4" x14ac:dyDescent="0.3">
      <c r="A14" s="14" t="s">
        <v>43</v>
      </c>
      <c r="B14" s="17">
        <f>B9-B13</f>
        <v>0</v>
      </c>
      <c r="C14" s="17">
        <f>C9-C13</f>
        <v>0</v>
      </c>
      <c r="D14" s="17">
        <f>D9-D13</f>
        <v>0</v>
      </c>
    </row>
    <row r="15" spans="1:4" x14ac:dyDescent="0.3">
      <c r="A15" s="3"/>
      <c r="B15" s="3"/>
      <c r="C15" s="3"/>
      <c r="D15" s="3"/>
    </row>
    <row r="16" spans="1:4" x14ac:dyDescent="0.3">
      <c r="A16" s="3"/>
      <c r="B16" s="3"/>
      <c r="C16" s="3"/>
      <c r="D16" s="3"/>
    </row>
    <row r="17" spans="1:4" x14ac:dyDescent="0.3">
      <c r="A17" s="8" t="s">
        <v>44</v>
      </c>
      <c r="B17" s="3"/>
      <c r="C17" s="3"/>
      <c r="D17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7734375" defaultRowHeight="14.4" x14ac:dyDescent="0.3"/>
  <cols>
    <col min="1" max="1" width="42" customWidth="1"/>
    <col min="2" max="4" width="15" customWidth="1"/>
  </cols>
  <sheetData>
    <row r="1" spans="1:4" ht="21" customHeight="1" x14ac:dyDescent="0.3">
      <c r="A1" s="2" t="s">
        <v>45</v>
      </c>
      <c r="B1" s="3"/>
      <c r="C1" s="3"/>
      <c r="D1" s="3"/>
    </row>
    <row r="2" spans="1:4" x14ac:dyDescent="0.3">
      <c r="A2" s="8" t="s">
        <v>46</v>
      </c>
      <c r="B2" s="3"/>
      <c r="C2" s="3"/>
      <c r="D2" s="3"/>
    </row>
    <row r="3" spans="1:4" x14ac:dyDescent="0.3">
      <c r="A3" s="3"/>
      <c r="B3" s="3"/>
      <c r="C3" s="3"/>
      <c r="D3" s="3"/>
    </row>
    <row r="4" spans="1:4" x14ac:dyDescent="0.3">
      <c r="A4" s="4" t="s">
        <v>47</v>
      </c>
      <c r="B4" s="9" t="s">
        <v>17</v>
      </c>
      <c r="C4" s="9" t="s">
        <v>18</v>
      </c>
      <c r="D4" s="9" t="s">
        <v>19</v>
      </c>
    </row>
    <row r="5" spans="1:4" x14ac:dyDescent="0.3">
      <c r="A5" s="10" t="s">
        <v>48</v>
      </c>
      <c r="B5" s="11">
        <f>Assumptions!$B$12</f>
        <v>80000</v>
      </c>
      <c r="C5" s="11">
        <f>Assumptions!$B$12</f>
        <v>80000</v>
      </c>
      <c r="D5" s="11">
        <f>Assumptions!$B$12</f>
        <v>80000</v>
      </c>
    </row>
    <row r="6" spans="1:4" x14ac:dyDescent="0.3">
      <c r="A6" s="10" t="s">
        <v>49</v>
      </c>
      <c r="B6" s="11">
        <v>-6000</v>
      </c>
      <c r="C6" s="11">
        <v>-6500</v>
      </c>
      <c r="D6" s="11">
        <v>-6000</v>
      </c>
    </row>
    <row r="7" spans="1:4" x14ac:dyDescent="0.3">
      <c r="A7" s="10" t="s">
        <v>50</v>
      </c>
      <c r="B7" s="11">
        <v>-5000</v>
      </c>
      <c r="C7" s="11">
        <v>-15000</v>
      </c>
      <c r="D7" s="11">
        <v>-7000</v>
      </c>
    </row>
    <row r="8" spans="1:4" x14ac:dyDescent="0.3">
      <c r="A8" s="10" t="s">
        <v>51</v>
      </c>
      <c r="B8" s="11">
        <f>-Assumptions!$B$10</f>
        <v>-15000</v>
      </c>
      <c r="C8" s="11">
        <f>-Assumptions!$B$10</f>
        <v>-15000</v>
      </c>
      <c r="D8" s="11">
        <f>-Assumptions!$B$10</f>
        <v>-15000</v>
      </c>
    </row>
    <row r="9" spans="1:4" x14ac:dyDescent="0.3">
      <c r="A9" s="10" t="s">
        <v>52</v>
      </c>
      <c r="B9" s="11">
        <f>-Assumptions!$B$9</f>
        <v>-34000</v>
      </c>
      <c r="C9" s="11">
        <f>-Assumptions!$B$9</f>
        <v>-34000</v>
      </c>
      <c r="D9" s="11">
        <f>-Assumptions!$B$9</f>
        <v>-34000</v>
      </c>
    </row>
    <row r="10" spans="1:4" x14ac:dyDescent="0.3">
      <c r="A10" s="14" t="s">
        <v>53</v>
      </c>
      <c r="B10" s="15">
        <f>'P&amp;L'!B11</f>
        <v>-3770</v>
      </c>
      <c r="C10" s="15">
        <f>'P&amp;L'!C11</f>
        <v>-2405</v>
      </c>
      <c r="D10" s="15">
        <f>'P&amp;L'!D11</f>
        <v>-3510</v>
      </c>
    </row>
    <row r="11" spans="1:4" x14ac:dyDescent="0.3">
      <c r="A11" s="12" t="s">
        <v>54</v>
      </c>
      <c r="B11" s="13">
        <f>SUM(B5:B10)</f>
        <v>16230</v>
      </c>
      <c r="C11" s="13">
        <f>SUM(C5:C10)</f>
        <v>7095</v>
      </c>
      <c r="D11" s="13">
        <f>SUM(D5:D10)</f>
        <v>14490</v>
      </c>
    </row>
    <row r="12" spans="1:4" x14ac:dyDescent="0.3">
      <c r="A12" s="14" t="s">
        <v>55</v>
      </c>
      <c r="B12" s="15">
        <f>Assumptions!$B$11</f>
        <v>200000</v>
      </c>
      <c r="C12" s="15">
        <f>B13</f>
        <v>216230</v>
      </c>
      <c r="D12" s="15">
        <f>C13</f>
        <v>223325</v>
      </c>
    </row>
    <row r="13" spans="1:4" x14ac:dyDescent="0.3">
      <c r="A13" s="12" t="s">
        <v>56</v>
      </c>
      <c r="B13" s="13">
        <f>B11+B12</f>
        <v>216230</v>
      </c>
      <c r="C13" s="13">
        <f>C11+C12</f>
        <v>223325</v>
      </c>
      <c r="D13" s="13">
        <f>D11+D12</f>
        <v>237815</v>
      </c>
    </row>
    <row r="14" spans="1:4" x14ac:dyDescent="0.3">
      <c r="A14" s="3"/>
      <c r="B14" s="3"/>
      <c r="C14" s="3"/>
      <c r="D14" s="3"/>
    </row>
    <row r="15" spans="1:4" x14ac:dyDescent="0.3">
      <c r="A15" s="8"/>
      <c r="B15" s="3"/>
      <c r="C15" s="3"/>
      <c r="D15" s="3"/>
    </row>
    <row r="16" spans="1:4" ht="41.7" customHeight="1" x14ac:dyDescent="0.3">
      <c r="A16" s="1" t="s">
        <v>57</v>
      </c>
      <c r="B16" s="1"/>
      <c r="C16" s="1"/>
      <c r="D16" s="1"/>
    </row>
  </sheetData>
  <mergeCells count="1">
    <mergeCell ref="A16:D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tabSelected="1" topLeftCell="A12" zoomScaleNormal="100" workbookViewId="0">
      <selection activeCell="D23" sqref="D23"/>
    </sheetView>
  </sheetViews>
  <sheetFormatPr defaultColWidth="8.6640625" defaultRowHeight="14.4" x14ac:dyDescent="0.3"/>
  <cols>
    <col min="1" max="1" width="26" customWidth="1"/>
    <col min="2" max="2" width="40" customWidth="1"/>
    <col min="3" max="3" width="14" customWidth="1"/>
    <col min="4" max="4" width="48" customWidth="1"/>
  </cols>
  <sheetData>
    <row r="1" spans="1:2" ht="21" x14ac:dyDescent="0.3">
      <c r="A1" s="2" t="s">
        <v>90</v>
      </c>
    </row>
    <row r="4" spans="1:2" x14ac:dyDescent="0.3">
      <c r="A4" s="18" t="s">
        <v>58</v>
      </c>
    </row>
    <row r="5" spans="1:2" x14ac:dyDescent="0.3">
      <c r="A5" t="s">
        <v>20</v>
      </c>
      <c r="B5" s="19">
        <f>SUM('P&amp;L'!B5:D5)</f>
        <v>240000</v>
      </c>
    </row>
    <row r="6" spans="1:2" x14ac:dyDescent="0.3">
      <c r="A6" t="s">
        <v>59</v>
      </c>
      <c r="B6" s="19">
        <f>SUM('P&amp;L'!B6:D7)</f>
        <v>-45500</v>
      </c>
    </row>
    <row r="7" spans="1:2" x14ac:dyDescent="0.3">
      <c r="A7" t="s">
        <v>23</v>
      </c>
      <c r="B7" s="19">
        <f>SUM('P&amp;L'!B8:D8)</f>
        <v>-45000</v>
      </c>
    </row>
    <row r="8" spans="1:2" x14ac:dyDescent="0.3">
      <c r="A8" t="s">
        <v>60</v>
      </c>
      <c r="B8" s="19">
        <f>SUM('P&amp;L'!B9:D9)</f>
        <v>-75000</v>
      </c>
    </row>
    <row r="9" spans="1:2" x14ac:dyDescent="0.3">
      <c r="A9" t="s">
        <v>25</v>
      </c>
      <c r="B9" s="19">
        <f>SUM('P&amp;L'!B10:D10)</f>
        <v>74500</v>
      </c>
    </row>
    <row r="10" spans="1:2" x14ac:dyDescent="0.3">
      <c r="A10" t="s">
        <v>26</v>
      </c>
      <c r="B10" s="19">
        <f>SUM('P&amp;L'!B11:D11)</f>
        <v>-9685</v>
      </c>
    </row>
    <row r="11" spans="1:2" x14ac:dyDescent="0.3">
      <c r="A11" t="s">
        <v>27</v>
      </c>
      <c r="B11" s="19">
        <f>SUM('P&amp;L'!B12:D12)</f>
        <v>64815</v>
      </c>
    </row>
    <row r="12" spans="1:2" x14ac:dyDescent="0.3">
      <c r="A12" t="s">
        <v>61</v>
      </c>
      <c r="B12" s="19">
        <f>SUM('Cash Flow'!B11:D11)</f>
        <v>37815</v>
      </c>
    </row>
    <row r="13" spans="1:2" x14ac:dyDescent="0.3">
      <c r="A13" t="s">
        <v>62</v>
      </c>
      <c r="B13" s="19">
        <f>'Balance Sheet'!D9</f>
        <v>19162815</v>
      </c>
    </row>
    <row r="14" spans="1:2" x14ac:dyDescent="0.3">
      <c r="A14" t="s">
        <v>63</v>
      </c>
      <c r="B14" s="19">
        <f>'Balance Sheet'!D12</f>
        <v>9264815</v>
      </c>
    </row>
    <row r="15" spans="1:2" x14ac:dyDescent="0.3">
      <c r="A15" t="s">
        <v>64</v>
      </c>
      <c r="B15" s="19">
        <f>'Balance Sheet'!D11</f>
        <v>9898000</v>
      </c>
    </row>
    <row r="16" spans="1:2" x14ac:dyDescent="0.3">
      <c r="A16" t="s">
        <v>65</v>
      </c>
      <c r="B16" s="19">
        <f>'Balance Sheet'!D8</f>
        <v>237815</v>
      </c>
    </row>
    <row r="17" spans="1:3" x14ac:dyDescent="0.3">
      <c r="A17" t="s">
        <v>66</v>
      </c>
      <c r="B17" s="19">
        <f>Assumptions!$B$4+Assumptions!$B$5+Assumptions!$B$6</f>
        <v>19000000</v>
      </c>
    </row>
    <row r="19" spans="1:3" x14ac:dyDescent="0.3">
      <c r="A19" s="18" t="s">
        <v>67</v>
      </c>
    </row>
    <row r="20" spans="1:3" x14ac:dyDescent="0.3">
      <c r="A20" t="s">
        <v>68</v>
      </c>
      <c r="B20" s="20">
        <f>$B$5+$B$6</f>
        <v>194500</v>
      </c>
    </row>
    <row r="22" spans="1:3" x14ac:dyDescent="0.3">
      <c r="A22" s="21" t="s">
        <v>69</v>
      </c>
      <c r="B22" s="21" t="s">
        <v>70</v>
      </c>
      <c r="C22" s="21" t="s">
        <v>2</v>
      </c>
    </row>
    <row r="23" spans="1:3" x14ac:dyDescent="0.3">
      <c r="A23" s="22" t="s">
        <v>71</v>
      </c>
      <c r="B23" s="23" t="s">
        <v>72</v>
      </c>
      <c r="C23" s="24">
        <f>$B$17/($B$11*4)</f>
        <v>73.285504898557434</v>
      </c>
    </row>
    <row r="24" spans="1:3" x14ac:dyDescent="0.3">
      <c r="A24" s="22" t="s">
        <v>73</v>
      </c>
      <c r="B24" s="23" t="s">
        <v>74</v>
      </c>
      <c r="C24" s="25">
        <f>($B$11*4)/$B$13</f>
        <v>1.3529327502248495E-2</v>
      </c>
    </row>
    <row r="25" spans="1:3" x14ac:dyDescent="0.3">
      <c r="A25" s="22" t="s">
        <v>75</v>
      </c>
      <c r="B25" s="23" t="s">
        <v>76</v>
      </c>
      <c r="C25" s="25">
        <f>($B$11*4)/$B$14</f>
        <v>2.7983289466654217E-2</v>
      </c>
    </row>
    <row r="26" spans="1:3" x14ac:dyDescent="0.3">
      <c r="A26" s="22" t="s">
        <v>77</v>
      </c>
      <c r="B26" s="23" t="s">
        <v>78</v>
      </c>
      <c r="C26" s="25">
        <f>$B$11/$B$5</f>
        <v>0.27006249999999998</v>
      </c>
    </row>
    <row r="27" spans="1:3" x14ac:dyDescent="0.3">
      <c r="A27" s="22" t="s">
        <v>79</v>
      </c>
      <c r="B27" s="23" t="s">
        <v>80</v>
      </c>
      <c r="C27" s="25">
        <f>($B$5+$B$6)/$B$5</f>
        <v>0.81041666666666667</v>
      </c>
    </row>
    <row r="28" spans="1:3" x14ac:dyDescent="0.3">
      <c r="A28" s="22" t="s">
        <v>68</v>
      </c>
      <c r="B28" s="23" t="s">
        <v>81</v>
      </c>
      <c r="C28" s="26">
        <f>$B$20</f>
        <v>194500</v>
      </c>
    </row>
    <row r="29" spans="1:3" x14ac:dyDescent="0.3">
      <c r="A29" s="22" t="s">
        <v>82</v>
      </c>
      <c r="B29" s="23" t="s">
        <v>83</v>
      </c>
      <c r="C29" s="25">
        <f>$B$20/$B$5</f>
        <v>0.81041666666666667</v>
      </c>
    </row>
    <row r="30" spans="1:3" x14ac:dyDescent="0.3">
      <c r="A30" s="22" t="s">
        <v>84</v>
      </c>
      <c r="B30" s="23" t="s">
        <v>85</v>
      </c>
      <c r="C30" s="24">
        <f>($B$15-$B$16)/($B$20*4)</f>
        <v>12.416690231362468</v>
      </c>
    </row>
    <row r="31" spans="1:3" x14ac:dyDescent="0.3">
      <c r="A31" s="22" t="s">
        <v>86</v>
      </c>
      <c r="B31" s="23" t="s">
        <v>87</v>
      </c>
      <c r="C31" s="24">
        <f>($B$17+$B$15-$B$16)/($B$20*4)</f>
        <v>36.838284061696655</v>
      </c>
    </row>
    <row r="32" spans="1:3" x14ac:dyDescent="0.3">
      <c r="A32" s="22" t="s">
        <v>88</v>
      </c>
      <c r="B32" s="23" t="s">
        <v>89</v>
      </c>
      <c r="C32" s="25">
        <f>$B$12/$B$20</f>
        <v>0.19442159383033419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P&amp;L</vt:lpstr>
      <vt:lpstr>Balance Sheet</vt:lpstr>
      <vt:lpstr>Cash Flow</vt:lpstr>
      <vt:lpstr>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zach slap</cp:lastModifiedBy>
  <cp:revision>1</cp:revision>
  <dcterms:created xsi:type="dcterms:W3CDTF">2026-06-16T17:28:52Z</dcterms:created>
  <dcterms:modified xsi:type="dcterms:W3CDTF">2026-07-21T19:14:11Z</dcterms:modified>
  <dc:language>en-US</dc:language>
</cp:coreProperties>
</file>